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hopping List" sheetId="2" state="visible" r:id="rId4"/>
    <sheet name="Maintenance" sheetId="3" state="visible" r:id="rId5"/>
    <sheet name="Generator Log" sheetId="4" state="visible" r:id="rId6"/>
  </sheets>
  <definedNames>
    <definedName function="false" hidden="true" localSheetId="1" name="_xlnm._FilterDatabase" vbProcedure="false">'Shopping List'!$A$1:$M$84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<sst xmlns="http://schemas.openxmlformats.org/spreadsheetml/2006/main" count="603" uniqueCount="209">
  <si>
    <t xml:space="preserve">90-Day Shelter-in-Place Tracker</t>
  </si>
  <si>
    <t xml:space="preserve">Estimates are approximate (late 2026). On Shopping List: change blue numbers (qty, prices); fill yellow cells (Status, Actual cost). Rows marked Have turn green.</t>
  </si>
  <si>
    <t xml:space="preserve">Phase</t>
  </si>
  <si>
    <t xml:space="preserve">Core low ($)</t>
  </si>
  <si>
    <t xml:space="preserve">Core high ($)</t>
  </si>
  <si>
    <t xml:space="preserve">Optional low ($)</t>
  </si>
  <si>
    <t xml:space="preserve">Optional high ($)</t>
  </si>
  <si>
    <t xml:space="preserve">All-in low ($)</t>
  </si>
  <si>
    <t xml:space="preserve">All-in high ($)</t>
  </si>
  <si>
    <t xml:space="preserve">Items</t>
  </si>
  <si>
    <t xml:space="preserve">Have</t>
  </si>
  <si>
    <t xml:space="preserve">Actual spent ($)</t>
  </si>
  <si>
    <t xml:space="preserve">1 - This week</t>
  </si>
  <si>
    <t xml:space="preserve">2 - Within 2-4 weeks</t>
  </si>
  <si>
    <t xml:space="preserve">3 - Within 60 days</t>
  </si>
  <si>
    <t xml:space="preserve">TOTAL</t>
  </si>
  <si>
    <t xml:space="preserve">Not budgeted: heating oil top-off, prescription copays, cash reserve (set aside, not spent).</t>
  </si>
  <si>
    <t xml:space="preserve">Category</t>
  </si>
  <si>
    <t xml:space="preserve">Item</t>
  </si>
  <si>
    <t xml:space="preserve">Qty</t>
  </si>
  <si>
    <t xml:space="preserve">Unit</t>
  </si>
  <si>
    <t xml:space="preserve">Unit cost low ($)</t>
  </si>
  <si>
    <t xml:space="preserve">Unit cost high ($)</t>
  </si>
  <si>
    <t xml:space="preserve">Total low ($)</t>
  </si>
  <si>
    <t xml:space="preserve">Total high ($)</t>
  </si>
  <si>
    <t xml:space="preserve">Optional?</t>
  </si>
  <si>
    <t xml:space="preserve">Status</t>
  </si>
  <si>
    <t xml:space="preserve">Actual cost ($)</t>
  </si>
  <si>
    <t xml:space="preserve">Notes</t>
  </si>
  <si>
    <t xml:space="preserve">Heat &amp; Power</t>
  </si>
  <si>
    <t xml:space="preserve">Battery CO alarms</t>
  </si>
  <si>
    <t xml:space="preserve">each</t>
  </si>
  <si>
    <t xml:space="preserve">N</t>
  </si>
  <si>
    <t xml:space="preserve">Not bought</t>
  </si>
  <si>
    <t xml:space="preserve">Every level + outside sleeping areas</t>
  </si>
  <si>
    <t xml:space="preserve">ABC fire extinguisher</t>
  </si>
  <si>
    <t xml:space="preserve">One per floor</t>
  </si>
  <si>
    <t xml:space="preserve">Indoor-rated propane heater (ODS + tip-over)</t>
  </si>
  <si>
    <t xml:space="preserve">Awake use only, window cracked</t>
  </si>
  <si>
    <t xml:space="preserve">1-lb propane cylinders</t>
  </si>
  <si>
    <t xml:space="preserve">For the indoor heater</t>
  </si>
  <si>
    <t xml:space="preserve">Comms</t>
  </si>
  <si>
    <t xml:space="preserve">Hand-crank/solar NOAA weather radio (AM/FM)</t>
  </si>
  <si>
    <t xml:space="preserve">Battery AM/FM radio (backup)</t>
  </si>
  <si>
    <t xml:space="preserve">USB power banks</t>
  </si>
  <si>
    <t xml:space="preserve">One per person</t>
  </si>
  <si>
    <t xml:space="preserve">Lighting</t>
  </si>
  <si>
    <t xml:space="preserve">LED lanterns</t>
  </si>
  <si>
    <t xml:space="preserve">Headlamps</t>
  </si>
  <si>
    <t xml:space="preserve">1 per person + 2 spares</t>
  </si>
  <si>
    <t xml:space="preserve">Rechargeable AA/AAA set + USB charger</t>
  </si>
  <si>
    <t xml:space="preserve">set</t>
  </si>
  <si>
    <t xml:space="preserve">Alkaline AA (48) + AAA (24)</t>
  </si>
  <si>
    <t xml:space="preserve">lot</t>
  </si>
  <si>
    <t xml:space="preserve">Water</t>
  </si>
  <si>
    <t xml:space="preserve">Bottled water</t>
  </si>
  <si>
    <t xml:space="preserve">gal</t>
  </si>
  <si>
    <t xml:space="preserve">Covers first ~2 weeks</t>
  </si>
  <si>
    <t xml:space="preserve">Bathtub water bladders</t>
  </si>
  <si>
    <t xml:space="preserve">~100 gal each</t>
  </si>
  <si>
    <t xml:space="preserve">Food</t>
  </si>
  <si>
    <t xml:space="preserve">2 weeks of no-cook food</t>
  </si>
  <si>
    <t xml:space="preserve">Foods the family already eats</t>
  </si>
  <si>
    <t xml:space="preserve">Cooking</t>
  </si>
  <si>
    <t xml:space="preserve">Butane stove (indoor-rated)</t>
  </si>
  <si>
    <t xml:space="preserve">Butane canisters</t>
  </si>
  <si>
    <t xml:space="preserve">First batch</t>
  </si>
  <si>
    <t xml:space="preserve">Manual can openers</t>
  </si>
  <si>
    <t xml:space="preserve">Docs &amp; Cash</t>
  </si>
  <si>
    <t xml:space="preserve">Cash reserve, small bills (set aside, not spent)</t>
  </si>
  <si>
    <t xml:space="preserve">$500-1,000 now, $1,000+ total</t>
  </si>
  <si>
    <t xml:space="preserve">Medical</t>
  </si>
  <si>
    <t xml:space="preserve">90-day prescription refills</t>
  </si>
  <si>
    <t xml:space="preserve">Copays vary - not budgeted</t>
  </si>
  <si>
    <t xml:space="preserve">Dual-fuel inverter generator, 4,000-5,000 W running</t>
  </si>
  <si>
    <t xml:space="preserve">Single most important purchase</t>
  </si>
  <si>
    <t xml:space="preserve">Generator inlet + interlock, installed with permit</t>
  </si>
  <si>
    <t xml:space="preserve">job</t>
  </si>
  <si>
    <t xml:space="preserve">Licensed electrician; ask about boiler transfer switch</t>
  </si>
  <si>
    <t xml:space="preserve">Generator power cord (matches inlet)</t>
  </si>
  <si>
    <t xml:space="preserve">Generator tent/cover for snow</t>
  </si>
  <si>
    <t xml:space="preserve">Generator chain + lock</t>
  </si>
  <si>
    <t xml:space="preserve">5-gal gasoline cans</t>
  </si>
  <si>
    <t xml:space="preserve">Fuel stabilizer</t>
  </si>
  <si>
    <t xml:space="preserve">bottle</t>
  </si>
  <si>
    <t xml:space="preserve">Gasoline</t>
  </si>
  <si>
    <t xml:space="preserve">Check storage limits with Cumberland Fire</t>
  </si>
  <si>
    <t xml:space="preserve">100-lb propane cylinders (empty)</t>
  </si>
  <si>
    <t xml:space="preserve">Ask a local propane company</t>
  </si>
  <si>
    <t xml:space="preserve">100-lb cylinder fills</t>
  </si>
  <si>
    <t xml:space="preserve">fill</t>
  </si>
  <si>
    <t xml:space="preserve">Propane hose/regulator for generator</t>
  </si>
  <si>
    <t xml:space="preserve">20-lb propane tanks (filled)</t>
  </si>
  <si>
    <t xml:space="preserve">Shared with grill/camp stove</t>
  </si>
  <si>
    <t xml:space="preserve">Portable power station 1-2 kWh (LiFePO4)</t>
  </si>
  <si>
    <t xml:space="preserve">Y</t>
  </si>
  <si>
    <t xml:space="preserve">Quiet overnight power</t>
  </si>
  <si>
    <t xml:space="preserve">Folding solar panel 200-400 W</t>
  </si>
  <si>
    <t xml:space="preserve">Weak in RI winter</t>
  </si>
  <si>
    <t xml:space="preserve">Sleeping bags rated 0-20F</t>
  </si>
  <si>
    <t xml:space="preserve">Winter-room fallback</t>
  </si>
  <si>
    <t xml:space="preserve">Window insulation film kits</t>
  </si>
  <si>
    <t xml:space="preserve">kit</t>
  </si>
  <si>
    <t xml:space="preserve">55-gal food-grade water drums</t>
  </si>
  <si>
    <t xml:space="preserve">330 gal; place on basement slab</t>
  </si>
  <si>
    <t xml:space="preserve">Drum siphon pump + bung wrench</t>
  </si>
  <si>
    <t xml:space="preserve">Gravity water filter (bacteria/protozoa)</t>
  </si>
  <si>
    <t xml:space="preserve">Unscented bleach (fresh yearly)</t>
  </si>
  <si>
    <t xml:space="preserve">jug</t>
  </si>
  <si>
    <t xml:space="preserve">8 drops/gal (6%) or 6 drops/gal (8.25%)</t>
  </si>
  <si>
    <t xml:space="preserve">Electric pressure cooker (skip if owned)</t>
  </si>
  <si>
    <t xml:space="preserve">Use during generator blocks</t>
  </si>
  <si>
    <t xml:space="preserve">Induction hot plate 1,800 W</t>
  </si>
  <si>
    <t xml:space="preserve">GMRS handheld radios</t>
  </si>
  <si>
    <t xml:space="preserve">GMRS FCC license (covers family)</t>
  </si>
  <si>
    <t xml:space="preserve">White rice</t>
  </si>
  <si>
    <t xml:space="preserve">lb</t>
  </si>
  <si>
    <t xml:space="preserve">~165,000 kcal</t>
  </si>
  <si>
    <t xml:space="preserve">Rolled oats</t>
  </si>
  <si>
    <t xml:space="preserve">~85,000 kcal</t>
  </si>
  <si>
    <t xml:space="preserve">Pasta</t>
  </si>
  <si>
    <t xml:space="preserve">~80,000 kcal</t>
  </si>
  <si>
    <t xml:space="preserve">Lentils / split peas / dry beans</t>
  </si>
  <si>
    <t xml:space="preserve">~60,000 kcal</t>
  </si>
  <si>
    <t xml:space="preserve">Cooking oil</t>
  </si>
  <si>
    <t xml:space="preserve">~93,000 kcal</t>
  </si>
  <si>
    <t xml:space="preserve">Peanut butter, 16-oz jars</t>
  </si>
  <si>
    <t xml:space="preserve">jar</t>
  </si>
  <si>
    <t xml:space="preserve">~65,000 kcal</t>
  </si>
  <si>
    <t xml:space="preserve">Sugar / honey</t>
  </si>
  <si>
    <t xml:space="preserve">~44,000 kcal</t>
  </si>
  <si>
    <t xml:space="preserve">Flour / pancake mix</t>
  </si>
  <si>
    <t xml:space="preserve">~41,000 kcal</t>
  </si>
  <si>
    <t xml:space="preserve">Nonfat powdered milk</t>
  </si>
  <si>
    <t xml:space="preserve">Canned meat &amp; fish</t>
  </si>
  <si>
    <t xml:space="preserve">can</t>
  </si>
  <si>
    <t xml:space="preserve">~30,000 kcal</t>
  </si>
  <si>
    <t xml:space="preserve">Canned vegetables &amp; fruit</t>
  </si>
  <si>
    <t xml:space="preserve">~45,000 kcal</t>
  </si>
  <si>
    <t xml:space="preserve">Canned soup / chili / stew</t>
  </si>
  <si>
    <t xml:space="preserve">~36,000 kcal</t>
  </si>
  <si>
    <t xml:space="preserve">Nuts, crackers, bars, trail mix</t>
  </si>
  <si>
    <t xml:space="preserve">Coffee, tea, drink mixes, spices, vitamins</t>
  </si>
  <si>
    <t xml:space="preserve">5-gal buckets + lids</t>
  </si>
  <si>
    <t xml:space="preserve">For bulk storage</t>
  </si>
  <si>
    <t xml:space="preserve">Mylar bags + oxygen absorbers</t>
  </si>
  <si>
    <t xml:space="preserve">Butane canisters (second batch)</t>
  </si>
  <si>
    <t xml:space="preserve">Over-the-counter medicine stock</t>
  </si>
  <si>
    <t xml:space="preserve">First-aid expansion (tourniquet, burns, splint)</t>
  </si>
  <si>
    <t xml:space="preserve">Thermometers (2) + pulse oximeter</t>
  </si>
  <si>
    <t xml:space="preserve">Temporary dental filling kit</t>
  </si>
  <si>
    <t xml:space="preserve">Red Cross first aid/CPR class</t>
  </si>
  <si>
    <t xml:space="preserve">person</t>
  </si>
  <si>
    <t xml:space="preserve">Hygiene</t>
  </si>
  <si>
    <t xml:space="preserve">Toilet paper</t>
  </si>
  <si>
    <t xml:space="preserve">roll</t>
  </si>
  <si>
    <t xml:space="preserve">Wipes, sanitizer, soap, toiletries</t>
  </si>
  <si>
    <t xml:space="preserve">Hand laundry washer, buckets, drying line</t>
  </si>
  <si>
    <t xml:space="preserve">Sanitation</t>
  </si>
  <si>
    <t xml:space="preserve">Bucket toilet kits</t>
  </si>
  <si>
    <t xml:space="preserve">Contractor bags</t>
  </si>
  <si>
    <t xml:space="preserve">box</t>
  </si>
  <si>
    <t xml:space="preserve">Clumping cat litter</t>
  </si>
  <si>
    <t xml:space="preserve">Disinfectant + dish gloves</t>
  </si>
  <si>
    <t xml:space="preserve">Paper RI road atlas</t>
  </si>
  <si>
    <t xml:space="preserve">Offline storage (USB/SD) for maps, media, Kiwix</t>
  </si>
  <si>
    <t xml:space="preserve">Waterproof doc folder + encrypted USB</t>
  </si>
  <si>
    <t xml:space="preserve">Go-bags</t>
  </si>
  <si>
    <t xml:space="preserve">Security</t>
  </si>
  <si>
    <t xml:space="preserve">Blackout curtain panels</t>
  </si>
  <si>
    <t xml:space="preserve">panel</t>
  </si>
  <si>
    <t xml:space="preserve">Solar garden stake lights</t>
  </si>
  <si>
    <t xml:space="preserve">Tools</t>
  </si>
  <si>
    <t xml:space="preserve">Roof rake</t>
  </si>
  <si>
    <t xml:space="preserve">Bow saw</t>
  </si>
  <si>
    <t xml:space="preserve">Tarps, sheeting, duct tape, rope, gloves</t>
  </si>
  <si>
    <t xml:space="preserve">Rain barrel (flushing water)</t>
  </si>
  <si>
    <t xml:space="preserve">Morale</t>
  </si>
  <si>
    <t xml:space="preserve">Games, puzzles, books, journals</t>
  </si>
  <si>
    <t xml:space="preserve">Task</t>
  </si>
  <si>
    <t xml:space="preserve">Frequency</t>
  </si>
  <si>
    <t xml:space="preserve">Next due</t>
  </si>
  <si>
    <t xml:space="preserve">Done?</t>
  </si>
  <si>
    <t xml:space="preserve">Run generator 20 min under load; check oil</t>
  </si>
  <si>
    <t xml:space="preserve">Monthly</t>
  </si>
  <si>
    <t xml:space="preserve">Test CO alarms and smoke alarms</t>
  </si>
  <si>
    <t xml:space="preserve">Eat and replace a few stored food items</t>
  </si>
  <si>
    <t xml:space="preserve">Recharge power station and power banks to ~80%</t>
  </si>
  <si>
    <t xml:space="preserve">Every 3 months</t>
  </si>
  <si>
    <t xml:space="preserve">Check batteries, lanterns, radio</t>
  </si>
  <si>
    <t xml:space="preserve">Every 6 months (clock changes)</t>
  </si>
  <si>
    <t xml:space="preserve">Rotate stabilized gasoline into cars; refill cans</t>
  </si>
  <si>
    <t xml:space="preserve">Every 12 months</t>
  </si>
  <si>
    <t xml:space="preserve">Replace water in drums; buy fresh bleach</t>
  </si>
  <si>
    <t xml:space="preserve">Check medicine and first-aid expiration dates</t>
  </si>
  <si>
    <t xml:space="preserve">Boiler service + oil tank top-off before winter</t>
  </si>
  <si>
    <t xml:space="preserve">Every 12 months (Sept-Oct)</t>
  </si>
  <si>
    <t xml:space="preserve">Refresh cash reserve; reprint contacts</t>
  </si>
  <si>
    <t xml:space="preserve">Date</t>
  </si>
  <si>
    <t xml:space="preserve">Start</t>
  </si>
  <si>
    <t xml:space="preserve">Stop</t>
  </si>
  <si>
    <t xml:space="preserve">Hours</t>
  </si>
  <si>
    <t xml:space="preserve">Fuel</t>
  </si>
  <si>
    <t xml:space="preserve">Fuel added (gal or lb)</t>
  </si>
  <si>
    <t xml:space="preserve">Total hours</t>
  </si>
  <si>
    <t xml:space="preserve">Example row - delete when you start logging</t>
  </si>
  <si>
    <t xml:space="preserve">Stored-fuel plan (hrs)</t>
  </si>
  <si>
    <t xml:space="preserve">Approximate, from the plan doc</t>
  </si>
  <si>
    <t xml:space="preserve">Hours remaining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</si>
</sst>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\$#,##0.00"/>
    <numFmt numFmtId="167" formatCode="mmm\ d&quot;, &quot;yyyy"/>
    <numFmt numFmtId="168" formatCode="0.0"/>
    <numFmt numFmtId="169" formatCode="mmm\ d"/>
    <numFmt numFmtId="170" formatCode="h:mm\ AM/P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0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n">
        <f aca="false">SUMIFS('Shopping List'!$H$2:$H$84,'Shopping List'!$A$2:$A$84,$A5,'Shopping List'!$J$2:$J$84,"N")</f>
        <v>1243</v>
      </c>
      <c r="C5" s="5" t="n">
        <f aca="false">SUMIFS('Shopping List'!$I$2:$I$84,'Shopping List'!$A$2:$A$84,$A5,'Shopping List'!$J$2:$J$84,"N")</f>
        <v>1983</v>
      </c>
      <c r="D5" s="5" t="n">
        <f aca="false">SUMIFS('Shopping List'!$H$2:$H$84,'Shopping List'!$A$2:$A$84,$A5,'Shopping List'!$J$2:$J$84,"Y")</f>
        <v>0</v>
      </c>
      <c r="E5" s="5" t="n">
        <f aca="false">SUMIFS('Shopping List'!$I$2:$I$84,'Shopping List'!$A$2:$A$84,$A5,'Shopping List'!$J$2:$J$84,"Y")</f>
        <v>0</v>
      </c>
      <c r="F5" s="5" t="n">
        <f aca="false">B5+D5</f>
        <v>1243</v>
      </c>
      <c r="G5" s="5" t="n">
        <f aca="false">C5+E5</f>
        <v>1983</v>
      </c>
      <c r="H5" s="4" t="n">
        <f aca="false">COUNTIFS('Shopping List'!$A$2:$A$84,$A5)</f>
        <v>19</v>
      </c>
      <c r="I5" s="4" t="n">
        <f aca="false">COUNTIFS('Shopping List'!$A$2:$A$84,$A5,'Shopping List'!$K$2:$K$84,"Have")</f>
        <v>0</v>
      </c>
      <c r="J5" s="5" t="n">
        <f aca="false">SUMIFS('Shopping List'!$L$2:$L$84,'Shopping List'!$A$2:$A$84,$A5)</f>
        <v>0</v>
      </c>
    </row>
    <row r="6" customFormat="false" ht="15" hidden="false" customHeight="false" outlineLevel="0" collapsed="false">
      <c r="A6" s="4" t="s">
        <v>13</v>
      </c>
      <c r="B6" s="5" t="n">
        <f aca="false">SUMIFS('Shopping List'!$H$2:$H$84,'Shopping List'!$A$2:$A$84,$A6,'Shopping List'!$J$2:$J$84,"N")</f>
        <v>3799</v>
      </c>
      <c r="C6" s="5" t="n">
        <f aca="false">SUMIFS('Shopping List'!$I$2:$I$84,'Shopping List'!$A$2:$A$84,$A6,'Shopping List'!$J$2:$J$84,"N")</f>
        <v>6684</v>
      </c>
      <c r="D6" s="5" t="n">
        <f aca="false">SUMIFS('Shopping List'!$H$2:$H$84,'Shopping List'!$A$2:$A$84,$A6,'Shopping List'!$J$2:$J$84,"Y")</f>
        <v>940</v>
      </c>
      <c r="E6" s="5" t="n">
        <f aca="false">SUMIFS('Shopping List'!$I$2:$I$84,'Shopping List'!$A$2:$A$84,$A6,'Shopping List'!$J$2:$J$84,"Y")</f>
        <v>1720</v>
      </c>
      <c r="F6" s="5" t="n">
        <f aca="false">B6+D6</f>
        <v>4739</v>
      </c>
      <c r="G6" s="5" t="n">
        <f aca="false">C6+E6</f>
        <v>8404</v>
      </c>
      <c r="H6" s="4" t="n">
        <f aca="false">COUNTIFS('Shopping List'!$A$2:$A$84,$A6)</f>
        <v>24</v>
      </c>
      <c r="I6" s="4" t="n">
        <f aca="false">COUNTIFS('Shopping List'!$A$2:$A$84,$A6,'Shopping List'!$K$2:$K$84,"Have")</f>
        <v>0</v>
      </c>
      <c r="J6" s="5" t="n">
        <f aca="false">SUMIFS('Shopping List'!$L$2:$L$84,'Shopping List'!$A$2:$A$84,$A6)</f>
        <v>0</v>
      </c>
    </row>
    <row r="7" customFormat="false" ht="15" hidden="false" customHeight="false" outlineLevel="0" collapsed="false">
      <c r="A7" s="4" t="s">
        <v>14</v>
      </c>
      <c r="B7" s="5" t="n">
        <f aca="false">SUMIFS('Shopping List'!$H$2:$H$84,'Shopping List'!$A$2:$A$84,$A7,'Shopping List'!$J$2:$J$84,"N")</f>
        <v>2444</v>
      </c>
      <c r="C7" s="5" t="n">
        <f aca="false">SUMIFS('Shopping List'!$I$2:$I$84,'Shopping List'!$A$2:$A$84,$A7,'Shopping List'!$J$2:$J$84,"N")</f>
        <v>4261</v>
      </c>
      <c r="D7" s="5" t="n">
        <f aca="false">SUMIFS('Shopping List'!$H$2:$H$84,'Shopping List'!$A$2:$A$84,$A7,'Shopping List'!$J$2:$J$84,"Y")</f>
        <v>480</v>
      </c>
      <c r="E7" s="5" t="n">
        <f aca="false">SUMIFS('Shopping List'!$I$2:$I$84,'Shopping List'!$A$2:$A$84,$A7,'Shopping List'!$J$2:$J$84,"Y")</f>
        <v>800</v>
      </c>
      <c r="F7" s="5" t="n">
        <f aca="false">B7+D7</f>
        <v>2924</v>
      </c>
      <c r="G7" s="5" t="n">
        <f aca="false">C7+E7</f>
        <v>5061</v>
      </c>
      <c r="H7" s="4" t="n">
        <f aca="false">COUNTIFS('Shopping List'!$A$2:$A$84,$A7)</f>
        <v>40</v>
      </c>
      <c r="I7" s="4" t="n">
        <f aca="false">COUNTIFS('Shopping List'!$A$2:$A$84,$A7,'Shopping List'!$K$2:$K$84,"Have")</f>
        <v>0</v>
      </c>
      <c r="J7" s="5" t="n">
        <f aca="false">SUMIFS('Shopping List'!$L$2:$L$84,'Shopping List'!$A$2:$A$84,$A7)</f>
        <v>0</v>
      </c>
    </row>
    <row r="8" customFormat="false" ht="15" hidden="false" customHeight="false" outlineLevel="0" collapsed="false">
      <c r="A8" s="6" t="s">
        <v>15</v>
      </c>
      <c r="B8" s="7" t="n">
        <f aca="false">SUM(B5:B7)</f>
        <v>7486</v>
      </c>
      <c r="C8" s="7" t="n">
        <f aca="false">SUM(C5:C7)</f>
        <v>12928</v>
      </c>
      <c r="D8" s="7" t="n">
        <f aca="false">SUM(D5:D7)</f>
        <v>1420</v>
      </c>
      <c r="E8" s="7" t="n">
        <f aca="false">SUM(E5:E7)</f>
        <v>2520</v>
      </c>
      <c r="F8" s="7" t="n">
        <f aca="false">SUM(F5:F7)</f>
        <v>8906</v>
      </c>
      <c r="G8" s="7" t="n">
        <f aca="false">SUM(G5:G7)</f>
        <v>15448</v>
      </c>
      <c r="H8" s="6" t="n">
        <f aca="false">SUM(H5:H7)</f>
        <v>83</v>
      </c>
      <c r="I8" s="6" t="n">
        <f aca="false">SUM(I5:I7)</f>
        <v>0</v>
      </c>
      <c r="J8" s="7" t="n">
        <f aca="false">SUM(J5:J7)</f>
        <v>0</v>
      </c>
    </row>
    <row r="10" customFormat="false" ht="15" hidden="false" customHeight="false" outlineLevel="0" collapsed="false">
      <c r="A1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9" min="6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44"/>
  </cols>
  <sheetData>
    <row r="1" customFormat="false" ht="39.55" hidden="false" customHeight="false" outlineLevel="0" collapsed="false">
      <c r="A1" s="8" t="s">
        <v>2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26</v>
      </c>
      <c r="L1" s="8" t="s">
        <v>27</v>
      </c>
      <c r="M1" s="8" t="s">
        <v>28</v>
      </c>
    </row>
    <row r="2" customFormat="false" ht="15" hidden="false" customHeight="false" outlineLevel="0" collapsed="false">
      <c r="A2" s="4" t="s">
        <v>12</v>
      </c>
      <c r="B2" s="4" t="s">
        <v>29</v>
      </c>
      <c r="C2" s="4" t="s">
        <v>30</v>
      </c>
      <c r="D2" s="9" t="n">
        <v>4</v>
      </c>
      <c r="E2" s="4" t="s">
        <v>31</v>
      </c>
      <c r="F2" s="10" t="n">
        <v>25</v>
      </c>
      <c r="G2" s="10" t="n">
        <v>40</v>
      </c>
      <c r="H2" s="5" t="n">
        <f aca="false">D2*F2</f>
        <v>100</v>
      </c>
      <c r="I2" s="5" t="n">
        <f aca="false">D2*G2</f>
        <v>160</v>
      </c>
      <c r="J2" s="4" t="s">
        <v>32</v>
      </c>
      <c r="K2" s="11" t="s">
        <v>33</v>
      </c>
      <c r="L2" s="12"/>
      <c r="M2" s="4" t="s">
        <v>34</v>
      </c>
    </row>
    <row r="3" customFormat="false" ht="15" hidden="false" customHeight="false" outlineLevel="0" collapsed="false">
      <c r="A3" s="4" t="s">
        <v>12</v>
      </c>
      <c r="B3" s="4" t="s">
        <v>29</v>
      </c>
      <c r="C3" s="4" t="s">
        <v>35</v>
      </c>
      <c r="D3" s="9" t="n">
        <v>3</v>
      </c>
      <c r="E3" s="4" t="s">
        <v>31</v>
      </c>
      <c r="F3" s="10" t="n">
        <v>35</v>
      </c>
      <c r="G3" s="10" t="n">
        <v>60</v>
      </c>
      <c r="H3" s="5" t="n">
        <f aca="false">D3*F3</f>
        <v>105</v>
      </c>
      <c r="I3" s="5" t="n">
        <f aca="false">D3*G3</f>
        <v>180</v>
      </c>
      <c r="J3" s="4" t="s">
        <v>32</v>
      </c>
      <c r="K3" s="11" t="s">
        <v>33</v>
      </c>
      <c r="L3" s="12"/>
      <c r="M3" s="4" t="s">
        <v>36</v>
      </c>
    </row>
    <row r="4" customFormat="false" ht="15" hidden="false" customHeight="false" outlineLevel="0" collapsed="false">
      <c r="A4" s="4" t="s">
        <v>12</v>
      </c>
      <c r="B4" s="4" t="s">
        <v>29</v>
      </c>
      <c r="C4" s="4" t="s">
        <v>37</v>
      </c>
      <c r="D4" s="9" t="n">
        <v>1</v>
      </c>
      <c r="E4" s="4" t="s">
        <v>31</v>
      </c>
      <c r="F4" s="10" t="n">
        <v>120</v>
      </c>
      <c r="G4" s="10" t="n">
        <v>180</v>
      </c>
      <c r="H4" s="5" t="n">
        <f aca="false">D4*F4</f>
        <v>120</v>
      </c>
      <c r="I4" s="5" t="n">
        <f aca="false">D4*G4</f>
        <v>180</v>
      </c>
      <c r="J4" s="4" t="s">
        <v>32</v>
      </c>
      <c r="K4" s="11" t="s">
        <v>33</v>
      </c>
      <c r="L4" s="12"/>
      <c r="M4" s="4" t="s">
        <v>38</v>
      </c>
    </row>
    <row r="5" customFormat="false" ht="15" hidden="false" customHeight="false" outlineLevel="0" collapsed="false">
      <c r="A5" s="4" t="s">
        <v>12</v>
      </c>
      <c r="B5" s="4" t="s">
        <v>29</v>
      </c>
      <c r="C5" s="4" t="s">
        <v>39</v>
      </c>
      <c r="D5" s="9" t="n">
        <v>12</v>
      </c>
      <c r="E5" s="4" t="s">
        <v>31</v>
      </c>
      <c r="F5" s="10" t="n">
        <v>6</v>
      </c>
      <c r="G5" s="10" t="n">
        <v>9</v>
      </c>
      <c r="H5" s="5" t="n">
        <f aca="false">D5*F5</f>
        <v>72</v>
      </c>
      <c r="I5" s="5" t="n">
        <f aca="false">D5*G5</f>
        <v>108</v>
      </c>
      <c r="J5" s="4" t="s">
        <v>32</v>
      </c>
      <c r="K5" s="11" t="s">
        <v>33</v>
      </c>
      <c r="L5" s="12"/>
      <c r="M5" s="4" t="s">
        <v>40</v>
      </c>
    </row>
    <row r="6" customFormat="false" ht="15" hidden="false" customHeight="false" outlineLevel="0" collapsed="false">
      <c r="A6" s="4" t="s">
        <v>12</v>
      </c>
      <c r="B6" s="4" t="s">
        <v>41</v>
      </c>
      <c r="C6" s="4" t="s">
        <v>42</v>
      </c>
      <c r="D6" s="9" t="n">
        <v>1</v>
      </c>
      <c r="E6" s="4" t="s">
        <v>31</v>
      </c>
      <c r="F6" s="10" t="n">
        <v>40</v>
      </c>
      <c r="G6" s="10" t="n">
        <v>70</v>
      </c>
      <c r="H6" s="5" t="n">
        <f aca="false">D6*F6</f>
        <v>40</v>
      </c>
      <c r="I6" s="5" t="n">
        <f aca="false">D6*G6</f>
        <v>70</v>
      </c>
      <c r="J6" s="4" t="s">
        <v>32</v>
      </c>
      <c r="K6" s="11" t="s">
        <v>33</v>
      </c>
      <c r="L6" s="12"/>
      <c r="M6" s="4"/>
    </row>
    <row r="7" customFormat="false" ht="15" hidden="false" customHeight="false" outlineLevel="0" collapsed="false">
      <c r="A7" s="4" t="s">
        <v>12</v>
      </c>
      <c r="B7" s="4" t="s">
        <v>41</v>
      </c>
      <c r="C7" s="4" t="s">
        <v>43</v>
      </c>
      <c r="D7" s="9" t="n">
        <v>1</v>
      </c>
      <c r="E7" s="4" t="s">
        <v>31</v>
      </c>
      <c r="F7" s="10" t="n">
        <v>20</v>
      </c>
      <c r="G7" s="10" t="n">
        <v>35</v>
      </c>
      <c r="H7" s="5" t="n">
        <f aca="false">D7*F7</f>
        <v>20</v>
      </c>
      <c r="I7" s="5" t="n">
        <f aca="false">D7*G7</f>
        <v>35</v>
      </c>
      <c r="J7" s="4" t="s">
        <v>32</v>
      </c>
      <c r="K7" s="11" t="s">
        <v>33</v>
      </c>
      <c r="L7" s="12"/>
      <c r="M7" s="4"/>
    </row>
    <row r="8" customFormat="false" ht="15" hidden="false" customHeight="false" outlineLevel="0" collapsed="false">
      <c r="A8" s="4" t="s">
        <v>12</v>
      </c>
      <c r="B8" s="4" t="s">
        <v>41</v>
      </c>
      <c r="C8" s="4" t="s">
        <v>44</v>
      </c>
      <c r="D8" s="9" t="n">
        <v>4</v>
      </c>
      <c r="E8" s="4" t="s">
        <v>31</v>
      </c>
      <c r="F8" s="10" t="n">
        <v>25</v>
      </c>
      <c r="G8" s="10" t="n">
        <v>40</v>
      </c>
      <c r="H8" s="5" t="n">
        <f aca="false">D8*F8</f>
        <v>100</v>
      </c>
      <c r="I8" s="5" t="n">
        <f aca="false">D8*G8</f>
        <v>160</v>
      </c>
      <c r="J8" s="4" t="s">
        <v>32</v>
      </c>
      <c r="K8" s="11" t="s">
        <v>33</v>
      </c>
      <c r="L8" s="12"/>
      <c r="M8" s="4" t="s">
        <v>45</v>
      </c>
    </row>
    <row r="9" customFormat="false" ht="15" hidden="false" customHeight="false" outlineLevel="0" collapsed="false">
      <c r="A9" s="4" t="s">
        <v>12</v>
      </c>
      <c r="B9" s="4" t="s">
        <v>46</v>
      </c>
      <c r="C9" s="4" t="s">
        <v>47</v>
      </c>
      <c r="D9" s="9" t="n">
        <v>4</v>
      </c>
      <c r="E9" s="4" t="s">
        <v>31</v>
      </c>
      <c r="F9" s="10" t="n">
        <v>20</v>
      </c>
      <c r="G9" s="10" t="n">
        <v>35</v>
      </c>
      <c r="H9" s="5" t="n">
        <f aca="false">D9*F9</f>
        <v>80</v>
      </c>
      <c r="I9" s="5" t="n">
        <f aca="false">D9*G9</f>
        <v>140</v>
      </c>
      <c r="J9" s="4" t="s">
        <v>32</v>
      </c>
      <c r="K9" s="11" t="s">
        <v>33</v>
      </c>
      <c r="L9" s="12"/>
      <c r="M9" s="4"/>
    </row>
    <row r="10" customFormat="false" ht="15" hidden="false" customHeight="false" outlineLevel="0" collapsed="false">
      <c r="A10" s="4" t="s">
        <v>12</v>
      </c>
      <c r="B10" s="4" t="s">
        <v>46</v>
      </c>
      <c r="C10" s="4" t="s">
        <v>48</v>
      </c>
      <c r="D10" s="9" t="n">
        <v>6</v>
      </c>
      <c r="E10" s="4" t="s">
        <v>31</v>
      </c>
      <c r="F10" s="10" t="n">
        <v>15</v>
      </c>
      <c r="G10" s="10" t="n">
        <v>25</v>
      </c>
      <c r="H10" s="5" t="n">
        <f aca="false">D10*F10</f>
        <v>90</v>
      </c>
      <c r="I10" s="5" t="n">
        <f aca="false">D10*G10</f>
        <v>150</v>
      </c>
      <c r="J10" s="4" t="s">
        <v>32</v>
      </c>
      <c r="K10" s="11" t="s">
        <v>33</v>
      </c>
      <c r="L10" s="12"/>
      <c r="M10" s="4" t="s">
        <v>49</v>
      </c>
    </row>
    <row r="11" customFormat="false" ht="15" hidden="false" customHeight="false" outlineLevel="0" collapsed="false">
      <c r="A11" s="4" t="s">
        <v>12</v>
      </c>
      <c r="B11" s="4" t="s">
        <v>46</v>
      </c>
      <c r="C11" s="4" t="s">
        <v>50</v>
      </c>
      <c r="D11" s="9" t="n">
        <v>1</v>
      </c>
      <c r="E11" s="4" t="s">
        <v>51</v>
      </c>
      <c r="F11" s="10" t="n">
        <v>40</v>
      </c>
      <c r="G11" s="10" t="n">
        <v>60</v>
      </c>
      <c r="H11" s="5" t="n">
        <f aca="false">D11*F11</f>
        <v>40</v>
      </c>
      <c r="I11" s="5" t="n">
        <f aca="false">D11*G11</f>
        <v>60</v>
      </c>
      <c r="J11" s="4" t="s">
        <v>32</v>
      </c>
      <c r="K11" s="11" t="s">
        <v>33</v>
      </c>
      <c r="L11" s="12"/>
      <c r="M11" s="4"/>
    </row>
    <row r="12" customFormat="false" ht="15" hidden="false" customHeight="false" outlineLevel="0" collapsed="false">
      <c r="A12" s="4" t="s">
        <v>12</v>
      </c>
      <c r="B12" s="4" t="s">
        <v>46</v>
      </c>
      <c r="C12" s="4" t="s">
        <v>52</v>
      </c>
      <c r="D12" s="9" t="n">
        <v>1</v>
      </c>
      <c r="E12" s="4" t="s">
        <v>53</v>
      </c>
      <c r="F12" s="10" t="n">
        <v>30</v>
      </c>
      <c r="G12" s="10" t="n">
        <v>48</v>
      </c>
      <c r="H12" s="5" t="n">
        <f aca="false">D12*F12</f>
        <v>30</v>
      </c>
      <c r="I12" s="5" t="n">
        <f aca="false">D12*G12</f>
        <v>48</v>
      </c>
      <c r="J12" s="4" t="s">
        <v>32</v>
      </c>
      <c r="K12" s="11" t="s">
        <v>33</v>
      </c>
      <c r="L12" s="12"/>
      <c r="M12" s="4"/>
    </row>
    <row r="13" customFormat="false" ht="15" hidden="false" customHeight="false" outlineLevel="0" collapsed="false">
      <c r="A13" s="4" t="s">
        <v>12</v>
      </c>
      <c r="B13" s="4" t="s">
        <v>54</v>
      </c>
      <c r="C13" s="4" t="s">
        <v>55</v>
      </c>
      <c r="D13" s="9" t="n">
        <v>60</v>
      </c>
      <c r="E13" s="4" t="s">
        <v>56</v>
      </c>
      <c r="F13" s="10" t="n">
        <v>1</v>
      </c>
      <c r="G13" s="10" t="n">
        <v>1.5</v>
      </c>
      <c r="H13" s="5" t="n">
        <f aca="false">D13*F13</f>
        <v>60</v>
      </c>
      <c r="I13" s="5" t="n">
        <f aca="false">D13*G13</f>
        <v>90</v>
      </c>
      <c r="J13" s="4" t="s">
        <v>32</v>
      </c>
      <c r="K13" s="11" t="s">
        <v>33</v>
      </c>
      <c r="L13" s="12"/>
      <c r="M13" s="4" t="s">
        <v>57</v>
      </c>
    </row>
    <row r="14" customFormat="false" ht="15" hidden="false" customHeight="false" outlineLevel="0" collapsed="false">
      <c r="A14" s="4" t="s">
        <v>12</v>
      </c>
      <c r="B14" s="4" t="s">
        <v>54</v>
      </c>
      <c r="C14" s="4" t="s">
        <v>58</v>
      </c>
      <c r="D14" s="9" t="n">
        <v>2</v>
      </c>
      <c r="E14" s="4" t="s">
        <v>31</v>
      </c>
      <c r="F14" s="10" t="n">
        <v>30</v>
      </c>
      <c r="G14" s="10" t="n">
        <v>40</v>
      </c>
      <c r="H14" s="5" t="n">
        <f aca="false">D14*F14</f>
        <v>60</v>
      </c>
      <c r="I14" s="5" t="n">
        <f aca="false">D14*G14</f>
        <v>80</v>
      </c>
      <c r="J14" s="4" t="s">
        <v>32</v>
      </c>
      <c r="K14" s="11" t="s">
        <v>33</v>
      </c>
      <c r="L14" s="12"/>
      <c r="M14" s="4" t="s">
        <v>59</v>
      </c>
    </row>
    <row r="15" customFormat="false" ht="15" hidden="false" customHeight="false" outlineLevel="0" collapsed="false">
      <c r="A15" s="4" t="s">
        <v>12</v>
      </c>
      <c r="B15" s="4" t="s">
        <v>60</v>
      </c>
      <c r="C15" s="4" t="s">
        <v>61</v>
      </c>
      <c r="D15" s="9" t="n">
        <v>1</v>
      </c>
      <c r="E15" s="4" t="s">
        <v>53</v>
      </c>
      <c r="F15" s="10" t="n">
        <v>250</v>
      </c>
      <c r="G15" s="10" t="n">
        <v>400</v>
      </c>
      <c r="H15" s="5" t="n">
        <f aca="false">D15*F15</f>
        <v>250</v>
      </c>
      <c r="I15" s="5" t="n">
        <f aca="false">D15*G15</f>
        <v>400</v>
      </c>
      <c r="J15" s="4" t="s">
        <v>32</v>
      </c>
      <c r="K15" s="11" t="s">
        <v>33</v>
      </c>
      <c r="L15" s="12"/>
      <c r="M15" s="4" t="s">
        <v>62</v>
      </c>
    </row>
    <row r="16" customFormat="false" ht="15" hidden="false" customHeight="false" outlineLevel="0" collapsed="false">
      <c r="A16" s="4" t="s">
        <v>12</v>
      </c>
      <c r="B16" s="4" t="s">
        <v>63</v>
      </c>
      <c r="C16" s="4" t="s">
        <v>64</v>
      </c>
      <c r="D16" s="9" t="n">
        <v>1</v>
      </c>
      <c r="E16" s="4" t="s">
        <v>31</v>
      </c>
      <c r="F16" s="10" t="n">
        <v>30</v>
      </c>
      <c r="G16" s="10" t="n">
        <v>50</v>
      </c>
      <c r="H16" s="5" t="n">
        <f aca="false">D16*F16</f>
        <v>30</v>
      </c>
      <c r="I16" s="5" t="n">
        <f aca="false">D16*G16</f>
        <v>50</v>
      </c>
      <c r="J16" s="4" t="s">
        <v>32</v>
      </c>
      <c r="K16" s="11" t="s">
        <v>33</v>
      </c>
      <c r="L16" s="12"/>
      <c r="M16" s="4"/>
    </row>
    <row r="17" customFormat="false" ht="15" hidden="false" customHeight="false" outlineLevel="0" collapsed="false">
      <c r="A17" s="4" t="s">
        <v>12</v>
      </c>
      <c r="B17" s="4" t="s">
        <v>63</v>
      </c>
      <c r="C17" s="4" t="s">
        <v>65</v>
      </c>
      <c r="D17" s="9" t="n">
        <v>12</v>
      </c>
      <c r="E17" s="4" t="s">
        <v>31</v>
      </c>
      <c r="F17" s="10" t="n">
        <v>2.5</v>
      </c>
      <c r="G17" s="10" t="n">
        <v>3.5</v>
      </c>
      <c r="H17" s="5" t="n">
        <f aca="false">D17*F17</f>
        <v>30</v>
      </c>
      <c r="I17" s="5" t="n">
        <f aca="false">D17*G17</f>
        <v>42</v>
      </c>
      <c r="J17" s="4" t="s">
        <v>32</v>
      </c>
      <c r="K17" s="11" t="s">
        <v>33</v>
      </c>
      <c r="L17" s="12"/>
      <c r="M17" s="4" t="s">
        <v>66</v>
      </c>
    </row>
    <row r="18" customFormat="false" ht="15" hidden="false" customHeight="false" outlineLevel="0" collapsed="false">
      <c r="A18" s="4" t="s">
        <v>12</v>
      </c>
      <c r="B18" s="4" t="s">
        <v>63</v>
      </c>
      <c r="C18" s="4" t="s">
        <v>67</v>
      </c>
      <c r="D18" s="9" t="n">
        <v>2</v>
      </c>
      <c r="E18" s="4" t="s">
        <v>31</v>
      </c>
      <c r="F18" s="10" t="n">
        <v>8</v>
      </c>
      <c r="G18" s="10" t="n">
        <v>15</v>
      </c>
      <c r="H18" s="5" t="n">
        <f aca="false">D18*F18</f>
        <v>16</v>
      </c>
      <c r="I18" s="5" t="n">
        <f aca="false">D18*G18</f>
        <v>30</v>
      </c>
      <c r="J18" s="4" t="s">
        <v>32</v>
      </c>
      <c r="K18" s="11" t="s">
        <v>33</v>
      </c>
      <c r="L18" s="12"/>
      <c r="M18" s="4"/>
    </row>
    <row r="19" customFormat="false" ht="15" hidden="false" customHeight="false" outlineLevel="0" collapsed="false">
      <c r="A19" s="4" t="s">
        <v>12</v>
      </c>
      <c r="B19" s="4" t="s">
        <v>68</v>
      </c>
      <c r="C19" s="4" t="s">
        <v>69</v>
      </c>
      <c r="D19" s="9" t="n">
        <v>1</v>
      </c>
      <c r="E19" s="4" t="s">
        <v>53</v>
      </c>
      <c r="F19" s="10" t="n">
        <v>0</v>
      </c>
      <c r="G19" s="10" t="n">
        <v>0</v>
      </c>
      <c r="H19" s="5" t="n">
        <f aca="false">D19*F19</f>
        <v>0</v>
      </c>
      <c r="I19" s="5" t="n">
        <f aca="false">D19*G19</f>
        <v>0</v>
      </c>
      <c r="J19" s="4" t="s">
        <v>32</v>
      </c>
      <c r="K19" s="11" t="s">
        <v>33</v>
      </c>
      <c r="L19" s="12"/>
      <c r="M19" s="4" t="s">
        <v>70</v>
      </c>
    </row>
    <row r="20" customFormat="false" ht="15" hidden="false" customHeight="false" outlineLevel="0" collapsed="false">
      <c r="A20" s="4" t="s">
        <v>12</v>
      </c>
      <c r="B20" s="4" t="s">
        <v>71</v>
      </c>
      <c r="C20" s="4" t="s">
        <v>72</v>
      </c>
      <c r="D20" s="9" t="n">
        <v>1</v>
      </c>
      <c r="E20" s="4" t="s">
        <v>53</v>
      </c>
      <c r="F20" s="10" t="n">
        <v>0</v>
      </c>
      <c r="G20" s="10" t="n">
        <v>0</v>
      </c>
      <c r="H20" s="5" t="n">
        <f aca="false">D20*F20</f>
        <v>0</v>
      </c>
      <c r="I20" s="5" t="n">
        <f aca="false">D20*G20</f>
        <v>0</v>
      </c>
      <c r="J20" s="4" t="s">
        <v>32</v>
      </c>
      <c r="K20" s="11" t="s">
        <v>33</v>
      </c>
      <c r="L20" s="12"/>
      <c r="M20" s="4" t="s">
        <v>73</v>
      </c>
    </row>
    <row r="21" customFormat="false" ht="15" hidden="false" customHeight="false" outlineLevel="0" collapsed="false">
      <c r="A21" s="4" t="s">
        <v>13</v>
      </c>
      <c r="B21" s="4" t="s">
        <v>29</v>
      </c>
      <c r="C21" s="4" t="s">
        <v>74</v>
      </c>
      <c r="D21" s="9" t="n">
        <v>1</v>
      </c>
      <c r="E21" s="4" t="s">
        <v>31</v>
      </c>
      <c r="F21" s="10" t="n">
        <v>1000</v>
      </c>
      <c r="G21" s="10" t="n">
        <v>1500</v>
      </c>
      <c r="H21" s="5" t="n">
        <f aca="false">D21*F21</f>
        <v>1000</v>
      </c>
      <c r="I21" s="5" t="n">
        <f aca="false">D21*G21</f>
        <v>1500</v>
      </c>
      <c r="J21" s="4" t="s">
        <v>32</v>
      </c>
      <c r="K21" s="11" t="s">
        <v>33</v>
      </c>
      <c r="L21" s="12"/>
      <c r="M21" s="4" t="s">
        <v>75</v>
      </c>
    </row>
    <row r="22" customFormat="false" ht="15" hidden="false" customHeight="false" outlineLevel="0" collapsed="false">
      <c r="A22" s="4" t="s">
        <v>13</v>
      </c>
      <c r="B22" s="4" t="s">
        <v>29</v>
      </c>
      <c r="C22" s="4" t="s">
        <v>76</v>
      </c>
      <c r="D22" s="9" t="n">
        <v>1</v>
      </c>
      <c r="E22" s="4" t="s">
        <v>77</v>
      </c>
      <c r="F22" s="10" t="n">
        <v>600</v>
      </c>
      <c r="G22" s="10" t="n">
        <v>1500</v>
      </c>
      <c r="H22" s="5" t="n">
        <f aca="false">D22*F22</f>
        <v>600</v>
      </c>
      <c r="I22" s="5" t="n">
        <f aca="false">D22*G22</f>
        <v>1500</v>
      </c>
      <c r="J22" s="4" t="s">
        <v>32</v>
      </c>
      <c r="K22" s="11" t="s">
        <v>33</v>
      </c>
      <c r="L22" s="12"/>
      <c r="M22" s="4" t="s">
        <v>78</v>
      </c>
    </row>
    <row r="23" customFormat="false" ht="15" hidden="false" customHeight="false" outlineLevel="0" collapsed="false">
      <c r="A23" s="4" t="s">
        <v>13</v>
      </c>
      <c r="B23" s="4" t="s">
        <v>29</v>
      </c>
      <c r="C23" s="4" t="s">
        <v>79</v>
      </c>
      <c r="D23" s="9" t="n">
        <v>1</v>
      </c>
      <c r="E23" s="4" t="s">
        <v>31</v>
      </c>
      <c r="F23" s="10" t="n">
        <v>80</v>
      </c>
      <c r="G23" s="10" t="n">
        <v>150</v>
      </c>
      <c r="H23" s="5" t="n">
        <f aca="false">D23*F23</f>
        <v>80</v>
      </c>
      <c r="I23" s="5" t="n">
        <f aca="false">D23*G23</f>
        <v>150</v>
      </c>
      <c r="J23" s="4" t="s">
        <v>32</v>
      </c>
      <c r="K23" s="11" t="s">
        <v>33</v>
      </c>
      <c r="L23" s="12"/>
      <c r="M23" s="4"/>
    </row>
    <row r="24" customFormat="false" ht="15" hidden="false" customHeight="false" outlineLevel="0" collapsed="false">
      <c r="A24" s="4" t="s">
        <v>13</v>
      </c>
      <c r="B24" s="4" t="s">
        <v>29</v>
      </c>
      <c r="C24" s="4" t="s">
        <v>80</v>
      </c>
      <c r="D24" s="9" t="n">
        <v>1</v>
      </c>
      <c r="E24" s="4" t="s">
        <v>31</v>
      </c>
      <c r="F24" s="10" t="n">
        <v>80</v>
      </c>
      <c r="G24" s="10" t="n">
        <v>200</v>
      </c>
      <c r="H24" s="5" t="n">
        <f aca="false">D24*F24</f>
        <v>80</v>
      </c>
      <c r="I24" s="5" t="n">
        <f aca="false">D24*G24</f>
        <v>200</v>
      </c>
      <c r="J24" s="4" t="s">
        <v>32</v>
      </c>
      <c r="K24" s="11" t="s">
        <v>33</v>
      </c>
      <c r="L24" s="12"/>
      <c r="M24" s="4"/>
    </row>
    <row r="25" customFormat="false" ht="15" hidden="false" customHeight="false" outlineLevel="0" collapsed="false">
      <c r="A25" s="4" t="s">
        <v>13</v>
      </c>
      <c r="B25" s="4" t="s">
        <v>29</v>
      </c>
      <c r="C25" s="4" t="s">
        <v>81</v>
      </c>
      <c r="D25" s="9" t="n">
        <v>1</v>
      </c>
      <c r="E25" s="4" t="s">
        <v>31</v>
      </c>
      <c r="F25" s="10" t="n">
        <v>30</v>
      </c>
      <c r="G25" s="10" t="n">
        <v>60</v>
      </c>
      <c r="H25" s="5" t="n">
        <f aca="false">D25*F25</f>
        <v>30</v>
      </c>
      <c r="I25" s="5" t="n">
        <f aca="false">D25*G25</f>
        <v>60</v>
      </c>
      <c r="J25" s="4" t="s">
        <v>32</v>
      </c>
      <c r="K25" s="11" t="s">
        <v>33</v>
      </c>
      <c r="L25" s="12"/>
      <c r="M25" s="4"/>
    </row>
    <row r="26" customFormat="false" ht="15" hidden="false" customHeight="false" outlineLevel="0" collapsed="false">
      <c r="A26" s="4" t="s">
        <v>13</v>
      </c>
      <c r="B26" s="4" t="s">
        <v>29</v>
      </c>
      <c r="C26" s="4" t="s">
        <v>82</v>
      </c>
      <c r="D26" s="9" t="n">
        <v>4</v>
      </c>
      <c r="E26" s="4" t="s">
        <v>31</v>
      </c>
      <c r="F26" s="10" t="n">
        <v>30</v>
      </c>
      <c r="G26" s="10" t="n">
        <v>45</v>
      </c>
      <c r="H26" s="5" t="n">
        <f aca="false">D26*F26</f>
        <v>120</v>
      </c>
      <c r="I26" s="5" t="n">
        <f aca="false">D26*G26</f>
        <v>180</v>
      </c>
      <c r="J26" s="4" t="s">
        <v>32</v>
      </c>
      <c r="K26" s="11" t="s">
        <v>33</v>
      </c>
      <c r="L26" s="12"/>
      <c r="M26" s="4"/>
    </row>
    <row r="27" customFormat="false" ht="15" hidden="false" customHeight="false" outlineLevel="0" collapsed="false">
      <c r="A27" s="4" t="s">
        <v>13</v>
      </c>
      <c r="B27" s="4" t="s">
        <v>29</v>
      </c>
      <c r="C27" s="4" t="s">
        <v>83</v>
      </c>
      <c r="D27" s="9" t="n">
        <v>1</v>
      </c>
      <c r="E27" s="4" t="s">
        <v>84</v>
      </c>
      <c r="F27" s="10" t="n">
        <v>15</v>
      </c>
      <c r="G27" s="10" t="n">
        <v>25</v>
      </c>
      <c r="H27" s="5" t="n">
        <f aca="false">D27*F27</f>
        <v>15</v>
      </c>
      <c r="I27" s="5" t="n">
        <f aca="false">D27*G27</f>
        <v>25</v>
      </c>
      <c r="J27" s="4" t="s">
        <v>32</v>
      </c>
      <c r="K27" s="11" t="s">
        <v>33</v>
      </c>
      <c r="L27" s="12"/>
      <c r="M27" s="4"/>
    </row>
    <row r="28" customFormat="false" ht="15" hidden="false" customHeight="false" outlineLevel="0" collapsed="false">
      <c r="A28" s="4" t="s">
        <v>13</v>
      </c>
      <c r="B28" s="4" t="s">
        <v>29</v>
      </c>
      <c r="C28" s="4" t="s">
        <v>85</v>
      </c>
      <c r="D28" s="9" t="n">
        <v>20</v>
      </c>
      <c r="E28" s="4" t="s">
        <v>56</v>
      </c>
      <c r="F28" s="10" t="n">
        <v>3.2</v>
      </c>
      <c r="G28" s="10" t="n">
        <v>3.8</v>
      </c>
      <c r="H28" s="5" t="n">
        <f aca="false">D28*F28</f>
        <v>64</v>
      </c>
      <c r="I28" s="5" t="n">
        <f aca="false">D28*G28</f>
        <v>76</v>
      </c>
      <c r="J28" s="4" t="s">
        <v>32</v>
      </c>
      <c r="K28" s="11" t="s">
        <v>33</v>
      </c>
      <c r="L28" s="12"/>
      <c r="M28" s="4" t="s">
        <v>86</v>
      </c>
    </row>
    <row r="29" customFormat="false" ht="15" hidden="false" customHeight="false" outlineLevel="0" collapsed="false">
      <c r="A29" s="4" t="s">
        <v>13</v>
      </c>
      <c r="B29" s="4" t="s">
        <v>29</v>
      </c>
      <c r="C29" s="4" t="s">
        <v>87</v>
      </c>
      <c r="D29" s="9" t="n">
        <v>3</v>
      </c>
      <c r="E29" s="4" t="s">
        <v>31</v>
      </c>
      <c r="F29" s="10" t="n">
        <v>150</v>
      </c>
      <c r="G29" s="10" t="n">
        <v>250</v>
      </c>
      <c r="H29" s="5" t="n">
        <f aca="false">D29*F29</f>
        <v>450</v>
      </c>
      <c r="I29" s="5" t="n">
        <f aca="false">D29*G29</f>
        <v>750</v>
      </c>
      <c r="J29" s="4" t="s">
        <v>32</v>
      </c>
      <c r="K29" s="11" t="s">
        <v>33</v>
      </c>
      <c r="L29" s="12"/>
      <c r="M29" s="4" t="s">
        <v>88</v>
      </c>
    </row>
    <row r="30" customFormat="false" ht="15" hidden="false" customHeight="false" outlineLevel="0" collapsed="false">
      <c r="A30" s="4" t="s">
        <v>13</v>
      </c>
      <c r="B30" s="4" t="s">
        <v>29</v>
      </c>
      <c r="C30" s="4" t="s">
        <v>89</v>
      </c>
      <c r="D30" s="9" t="n">
        <v>3</v>
      </c>
      <c r="E30" s="4" t="s">
        <v>90</v>
      </c>
      <c r="F30" s="10" t="n">
        <v>85</v>
      </c>
      <c r="G30" s="10" t="n">
        <v>130</v>
      </c>
      <c r="H30" s="5" t="n">
        <f aca="false">D30*F30</f>
        <v>255</v>
      </c>
      <c r="I30" s="5" t="n">
        <f aca="false">D30*G30</f>
        <v>390</v>
      </c>
      <c r="J30" s="4" t="s">
        <v>32</v>
      </c>
      <c r="K30" s="11" t="s">
        <v>33</v>
      </c>
      <c r="L30" s="12"/>
      <c r="M30" s="4"/>
    </row>
    <row r="31" customFormat="false" ht="15" hidden="false" customHeight="false" outlineLevel="0" collapsed="false">
      <c r="A31" s="4" t="s">
        <v>13</v>
      </c>
      <c r="B31" s="4" t="s">
        <v>29</v>
      </c>
      <c r="C31" s="4" t="s">
        <v>91</v>
      </c>
      <c r="D31" s="9" t="n">
        <v>1</v>
      </c>
      <c r="E31" s="4" t="s">
        <v>31</v>
      </c>
      <c r="F31" s="10" t="n">
        <v>40</v>
      </c>
      <c r="G31" s="10" t="n">
        <v>80</v>
      </c>
      <c r="H31" s="5" t="n">
        <f aca="false">D31*F31</f>
        <v>40</v>
      </c>
      <c r="I31" s="5" t="n">
        <f aca="false">D31*G31</f>
        <v>80</v>
      </c>
      <c r="J31" s="4" t="s">
        <v>32</v>
      </c>
      <c r="K31" s="11" t="s">
        <v>33</v>
      </c>
      <c r="L31" s="12"/>
      <c r="M31" s="4"/>
    </row>
    <row r="32" customFormat="false" ht="15" hidden="false" customHeight="false" outlineLevel="0" collapsed="false">
      <c r="A32" s="4" t="s">
        <v>13</v>
      </c>
      <c r="B32" s="4" t="s">
        <v>29</v>
      </c>
      <c r="C32" s="4" t="s">
        <v>92</v>
      </c>
      <c r="D32" s="9" t="n">
        <v>4</v>
      </c>
      <c r="E32" s="4" t="s">
        <v>31</v>
      </c>
      <c r="F32" s="10" t="n">
        <v>50</v>
      </c>
      <c r="G32" s="10" t="n">
        <v>65</v>
      </c>
      <c r="H32" s="5" t="n">
        <f aca="false">D32*F32</f>
        <v>200</v>
      </c>
      <c r="I32" s="5" t="n">
        <f aca="false">D32*G32</f>
        <v>260</v>
      </c>
      <c r="J32" s="4" t="s">
        <v>32</v>
      </c>
      <c r="K32" s="11" t="s">
        <v>33</v>
      </c>
      <c r="L32" s="12"/>
      <c r="M32" s="4" t="s">
        <v>93</v>
      </c>
    </row>
    <row r="33" customFormat="false" ht="15" hidden="false" customHeight="false" outlineLevel="0" collapsed="false">
      <c r="A33" s="4" t="s">
        <v>13</v>
      </c>
      <c r="B33" s="4" t="s">
        <v>29</v>
      </c>
      <c r="C33" s="4" t="s">
        <v>94</v>
      </c>
      <c r="D33" s="9" t="n">
        <v>1</v>
      </c>
      <c r="E33" s="4" t="s">
        <v>31</v>
      </c>
      <c r="F33" s="10" t="n">
        <v>600</v>
      </c>
      <c r="G33" s="10" t="n">
        <v>1100</v>
      </c>
      <c r="H33" s="5" t="n">
        <f aca="false">D33*F33</f>
        <v>600</v>
      </c>
      <c r="I33" s="5" t="n">
        <f aca="false">D33*G33</f>
        <v>1100</v>
      </c>
      <c r="J33" s="4" t="s">
        <v>95</v>
      </c>
      <c r="K33" s="11" t="s">
        <v>33</v>
      </c>
      <c r="L33" s="12"/>
      <c r="M33" s="4" t="s">
        <v>96</v>
      </c>
    </row>
    <row r="34" customFormat="false" ht="15" hidden="false" customHeight="false" outlineLevel="0" collapsed="false">
      <c r="A34" s="4" t="s">
        <v>13</v>
      </c>
      <c r="B34" s="4" t="s">
        <v>29</v>
      </c>
      <c r="C34" s="4" t="s">
        <v>97</v>
      </c>
      <c r="D34" s="9" t="n">
        <v>1</v>
      </c>
      <c r="E34" s="4" t="s">
        <v>31</v>
      </c>
      <c r="F34" s="10" t="n">
        <v>200</v>
      </c>
      <c r="G34" s="10" t="n">
        <v>400</v>
      </c>
      <c r="H34" s="5" t="n">
        <f aca="false">D34*F34</f>
        <v>200</v>
      </c>
      <c r="I34" s="5" t="n">
        <f aca="false">D34*G34</f>
        <v>400</v>
      </c>
      <c r="J34" s="4" t="s">
        <v>95</v>
      </c>
      <c r="K34" s="11" t="s">
        <v>33</v>
      </c>
      <c r="L34" s="12"/>
      <c r="M34" s="4" t="s">
        <v>98</v>
      </c>
    </row>
    <row r="35" customFormat="false" ht="15" hidden="false" customHeight="false" outlineLevel="0" collapsed="false">
      <c r="A35" s="4" t="s">
        <v>13</v>
      </c>
      <c r="B35" s="4" t="s">
        <v>29</v>
      </c>
      <c r="C35" s="4" t="s">
        <v>99</v>
      </c>
      <c r="D35" s="9" t="n">
        <v>4</v>
      </c>
      <c r="E35" s="4" t="s">
        <v>31</v>
      </c>
      <c r="F35" s="10" t="n">
        <v>50</v>
      </c>
      <c r="G35" s="10" t="n">
        <v>100</v>
      </c>
      <c r="H35" s="5" t="n">
        <f aca="false">D35*F35</f>
        <v>200</v>
      </c>
      <c r="I35" s="5" t="n">
        <f aca="false">D35*G35</f>
        <v>400</v>
      </c>
      <c r="J35" s="4" t="s">
        <v>32</v>
      </c>
      <c r="K35" s="11" t="s">
        <v>33</v>
      </c>
      <c r="L35" s="12"/>
      <c r="M35" s="4" t="s">
        <v>100</v>
      </c>
    </row>
    <row r="36" customFormat="false" ht="15" hidden="false" customHeight="false" outlineLevel="0" collapsed="false">
      <c r="A36" s="4" t="s">
        <v>13</v>
      </c>
      <c r="B36" s="4" t="s">
        <v>29</v>
      </c>
      <c r="C36" s="4" t="s">
        <v>101</v>
      </c>
      <c r="D36" s="9" t="n">
        <v>2</v>
      </c>
      <c r="E36" s="4" t="s">
        <v>102</v>
      </c>
      <c r="F36" s="10" t="n">
        <v>15</v>
      </c>
      <c r="G36" s="10" t="n">
        <v>25</v>
      </c>
      <c r="H36" s="5" t="n">
        <f aca="false">D36*F36</f>
        <v>30</v>
      </c>
      <c r="I36" s="5" t="n">
        <f aca="false">D36*G36</f>
        <v>50</v>
      </c>
      <c r="J36" s="4" t="s">
        <v>32</v>
      </c>
      <c r="K36" s="11" t="s">
        <v>33</v>
      </c>
      <c r="L36" s="12"/>
      <c r="M36" s="4"/>
    </row>
    <row r="37" customFormat="false" ht="15" hidden="false" customHeight="false" outlineLevel="0" collapsed="false">
      <c r="A37" s="4" t="s">
        <v>13</v>
      </c>
      <c r="B37" s="4" t="s">
        <v>54</v>
      </c>
      <c r="C37" s="4" t="s">
        <v>103</v>
      </c>
      <c r="D37" s="9" t="n">
        <v>6</v>
      </c>
      <c r="E37" s="4" t="s">
        <v>31</v>
      </c>
      <c r="F37" s="10" t="n">
        <v>50</v>
      </c>
      <c r="G37" s="10" t="n">
        <v>75</v>
      </c>
      <c r="H37" s="5" t="n">
        <f aca="false">D37*F37</f>
        <v>300</v>
      </c>
      <c r="I37" s="5" t="n">
        <f aca="false">D37*G37</f>
        <v>450</v>
      </c>
      <c r="J37" s="4" t="s">
        <v>32</v>
      </c>
      <c r="K37" s="11" t="s">
        <v>33</v>
      </c>
      <c r="L37" s="12"/>
      <c r="M37" s="4" t="s">
        <v>104</v>
      </c>
    </row>
    <row r="38" customFormat="false" ht="15" hidden="false" customHeight="false" outlineLevel="0" collapsed="false">
      <c r="A38" s="4" t="s">
        <v>13</v>
      </c>
      <c r="B38" s="4" t="s">
        <v>54</v>
      </c>
      <c r="C38" s="4" t="s">
        <v>105</v>
      </c>
      <c r="D38" s="9" t="n">
        <v>1</v>
      </c>
      <c r="E38" s="4" t="s">
        <v>51</v>
      </c>
      <c r="F38" s="10" t="n">
        <v>25</v>
      </c>
      <c r="G38" s="10" t="n">
        <v>40</v>
      </c>
      <c r="H38" s="5" t="n">
        <f aca="false">D38*F38</f>
        <v>25</v>
      </c>
      <c r="I38" s="5" t="n">
        <f aca="false">D38*G38</f>
        <v>40</v>
      </c>
      <c r="J38" s="4" t="s">
        <v>32</v>
      </c>
      <c r="K38" s="11" t="s">
        <v>33</v>
      </c>
      <c r="L38" s="12"/>
      <c r="M38" s="4"/>
    </row>
    <row r="39" customFormat="false" ht="15" hidden="false" customHeight="false" outlineLevel="0" collapsed="false">
      <c r="A39" s="4" t="s">
        <v>13</v>
      </c>
      <c r="B39" s="4" t="s">
        <v>54</v>
      </c>
      <c r="C39" s="4" t="s">
        <v>106</v>
      </c>
      <c r="D39" s="9" t="n">
        <v>1</v>
      </c>
      <c r="E39" s="4" t="s">
        <v>31</v>
      </c>
      <c r="F39" s="10" t="n">
        <v>150</v>
      </c>
      <c r="G39" s="10" t="n">
        <v>350</v>
      </c>
      <c r="H39" s="5" t="n">
        <f aca="false">D39*F39</f>
        <v>150</v>
      </c>
      <c r="I39" s="5" t="n">
        <f aca="false">D39*G39</f>
        <v>350</v>
      </c>
      <c r="J39" s="4" t="s">
        <v>32</v>
      </c>
      <c r="K39" s="11" t="s">
        <v>33</v>
      </c>
      <c r="L39" s="12"/>
      <c r="M39" s="4"/>
    </row>
    <row r="40" customFormat="false" ht="15" hidden="false" customHeight="false" outlineLevel="0" collapsed="false">
      <c r="A40" s="4" t="s">
        <v>13</v>
      </c>
      <c r="B40" s="4" t="s">
        <v>54</v>
      </c>
      <c r="C40" s="4" t="s">
        <v>107</v>
      </c>
      <c r="D40" s="9" t="n">
        <v>1</v>
      </c>
      <c r="E40" s="4" t="s">
        <v>108</v>
      </c>
      <c r="F40" s="10" t="n">
        <v>5</v>
      </c>
      <c r="G40" s="10" t="n">
        <v>8</v>
      </c>
      <c r="H40" s="5" t="n">
        <f aca="false">D40*F40</f>
        <v>5</v>
      </c>
      <c r="I40" s="5" t="n">
        <f aca="false">D40*G40</f>
        <v>8</v>
      </c>
      <c r="J40" s="4" t="s">
        <v>32</v>
      </c>
      <c r="K40" s="11" t="s">
        <v>33</v>
      </c>
      <c r="L40" s="12"/>
      <c r="M40" s="4" t="s">
        <v>109</v>
      </c>
    </row>
    <row r="41" customFormat="false" ht="15" hidden="false" customHeight="false" outlineLevel="0" collapsed="false">
      <c r="A41" s="4" t="s">
        <v>13</v>
      </c>
      <c r="B41" s="4" t="s">
        <v>63</v>
      </c>
      <c r="C41" s="4" t="s">
        <v>110</v>
      </c>
      <c r="D41" s="9" t="n">
        <v>1</v>
      </c>
      <c r="E41" s="4" t="s">
        <v>31</v>
      </c>
      <c r="F41" s="10" t="n">
        <v>80</v>
      </c>
      <c r="G41" s="10" t="n">
        <v>120</v>
      </c>
      <c r="H41" s="5" t="n">
        <f aca="false">D41*F41</f>
        <v>80</v>
      </c>
      <c r="I41" s="5" t="n">
        <f aca="false">D41*G41</f>
        <v>120</v>
      </c>
      <c r="J41" s="4" t="s">
        <v>95</v>
      </c>
      <c r="K41" s="11" t="s">
        <v>33</v>
      </c>
      <c r="L41" s="12"/>
      <c r="M41" s="4" t="s">
        <v>111</v>
      </c>
    </row>
    <row r="42" customFormat="false" ht="15" hidden="false" customHeight="false" outlineLevel="0" collapsed="false">
      <c r="A42" s="4" t="s">
        <v>13</v>
      </c>
      <c r="B42" s="4" t="s">
        <v>63</v>
      </c>
      <c r="C42" s="4" t="s">
        <v>112</v>
      </c>
      <c r="D42" s="9" t="n">
        <v>1</v>
      </c>
      <c r="E42" s="4" t="s">
        <v>31</v>
      </c>
      <c r="F42" s="10" t="n">
        <v>60</v>
      </c>
      <c r="G42" s="10" t="n">
        <v>100</v>
      </c>
      <c r="H42" s="5" t="n">
        <f aca="false">D42*F42</f>
        <v>60</v>
      </c>
      <c r="I42" s="5" t="n">
        <f aca="false">D42*G42</f>
        <v>100</v>
      </c>
      <c r="J42" s="4" t="s">
        <v>95</v>
      </c>
      <c r="K42" s="11" t="s">
        <v>33</v>
      </c>
      <c r="L42" s="12"/>
      <c r="M42" s="4"/>
    </row>
    <row r="43" customFormat="false" ht="15" hidden="false" customHeight="false" outlineLevel="0" collapsed="false">
      <c r="A43" s="4" t="s">
        <v>13</v>
      </c>
      <c r="B43" s="4" t="s">
        <v>41</v>
      </c>
      <c r="C43" s="4" t="s">
        <v>113</v>
      </c>
      <c r="D43" s="9" t="n">
        <v>4</v>
      </c>
      <c r="E43" s="4" t="s">
        <v>31</v>
      </c>
      <c r="F43" s="10" t="n">
        <v>30</v>
      </c>
      <c r="G43" s="10" t="n">
        <v>45</v>
      </c>
      <c r="H43" s="5" t="n">
        <f aca="false">D43*F43</f>
        <v>120</v>
      </c>
      <c r="I43" s="5" t="n">
        <f aca="false">D43*G43</f>
        <v>180</v>
      </c>
      <c r="J43" s="4" t="s">
        <v>32</v>
      </c>
      <c r="K43" s="11" t="s">
        <v>33</v>
      </c>
      <c r="L43" s="12"/>
      <c r="M43" s="4"/>
    </row>
    <row r="44" customFormat="false" ht="15" hidden="false" customHeight="false" outlineLevel="0" collapsed="false">
      <c r="A44" s="4" t="s">
        <v>13</v>
      </c>
      <c r="B44" s="4" t="s">
        <v>41</v>
      </c>
      <c r="C44" s="4" t="s">
        <v>114</v>
      </c>
      <c r="D44" s="9" t="n">
        <v>1</v>
      </c>
      <c r="E44" s="4" t="s">
        <v>31</v>
      </c>
      <c r="F44" s="10" t="n">
        <v>35</v>
      </c>
      <c r="G44" s="10" t="n">
        <v>35</v>
      </c>
      <c r="H44" s="5" t="n">
        <f aca="false">D44*F44</f>
        <v>35</v>
      </c>
      <c r="I44" s="5" t="n">
        <f aca="false">D44*G44</f>
        <v>35</v>
      </c>
      <c r="J44" s="4" t="s">
        <v>32</v>
      </c>
      <c r="K44" s="11" t="s">
        <v>33</v>
      </c>
      <c r="L44" s="12"/>
      <c r="M44" s="4"/>
    </row>
    <row r="45" customFormat="false" ht="15" hidden="false" customHeight="false" outlineLevel="0" collapsed="false">
      <c r="A45" s="4" t="s">
        <v>14</v>
      </c>
      <c r="B45" s="4" t="s">
        <v>60</v>
      </c>
      <c r="C45" s="4" t="s">
        <v>115</v>
      </c>
      <c r="D45" s="9" t="n">
        <v>100</v>
      </c>
      <c r="E45" s="4" t="s">
        <v>116</v>
      </c>
      <c r="F45" s="10" t="n">
        <v>0.7</v>
      </c>
      <c r="G45" s="10" t="n">
        <v>1</v>
      </c>
      <c r="H45" s="5" t="n">
        <f aca="false">D45*F45</f>
        <v>70</v>
      </c>
      <c r="I45" s="5" t="n">
        <f aca="false">D45*G45</f>
        <v>100</v>
      </c>
      <c r="J45" s="4" t="s">
        <v>32</v>
      </c>
      <c r="K45" s="11" t="s">
        <v>33</v>
      </c>
      <c r="L45" s="12"/>
      <c r="M45" s="4" t="s">
        <v>117</v>
      </c>
    </row>
    <row r="46" customFormat="false" ht="15" hidden="false" customHeight="false" outlineLevel="0" collapsed="false">
      <c r="A46" s="4" t="s">
        <v>14</v>
      </c>
      <c r="B46" s="4" t="s">
        <v>60</v>
      </c>
      <c r="C46" s="4" t="s">
        <v>118</v>
      </c>
      <c r="D46" s="9" t="n">
        <v>50</v>
      </c>
      <c r="E46" s="4" t="s">
        <v>116</v>
      </c>
      <c r="F46" s="10" t="n">
        <v>0.9</v>
      </c>
      <c r="G46" s="10" t="n">
        <v>1.4</v>
      </c>
      <c r="H46" s="5" t="n">
        <f aca="false">D46*F46</f>
        <v>45</v>
      </c>
      <c r="I46" s="5" t="n">
        <f aca="false">D46*G46</f>
        <v>70</v>
      </c>
      <c r="J46" s="4" t="s">
        <v>32</v>
      </c>
      <c r="K46" s="11" t="s">
        <v>33</v>
      </c>
      <c r="L46" s="12"/>
      <c r="M46" s="4" t="s">
        <v>119</v>
      </c>
    </row>
    <row r="47" customFormat="false" ht="15" hidden="false" customHeight="false" outlineLevel="0" collapsed="false">
      <c r="A47" s="4" t="s">
        <v>14</v>
      </c>
      <c r="B47" s="4" t="s">
        <v>60</v>
      </c>
      <c r="C47" s="4" t="s">
        <v>120</v>
      </c>
      <c r="D47" s="9" t="n">
        <v>50</v>
      </c>
      <c r="E47" s="4" t="s">
        <v>116</v>
      </c>
      <c r="F47" s="10" t="n">
        <v>1</v>
      </c>
      <c r="G47" s="10" t="n">
        <v>1.5</v>
      </c>
      <c r="H47" s="5" t="n">
        <f aca="false">D47*F47</f>
        <v>50</v>
      </c>
      <c r="I47" s="5" t="n">
        <f aca="false">D47*G47</f>
        <v>75</v>
      </c>
      <c r="J47" s="4" t="s">
        <v>32</v>
      </c>
      <c r="K47" s="11" t="s">
        <v>33</v>
      </c>
      <c r="L47" s="12"/>
      <c r="M47" s="4" t="s">
        <v>121</v>
      </c>
    </row>
    <row r="48" customFormat="false" ht="15" hidden="false" customHeight="false" outlineLevel="0" collapsed="false">
      <c r="A48" s="4" t="s">
        <v>14</v>
      </c>
      <c r="B48" s="4" t="s">
        <v>60</v>
      </c>
      <c r="C48" s="4" t="s">
        <v>122</v>
      </c>
      <c r="D48" s="9" t="n">
        <v>40</v>
      </c>
      <c r="E48" s="4" t="s">
        <v>116</v>
      </c>
      <c r="F48" s="10" t="n">
        <v>1.2</v>
      </c>
      <c r="G48" s="10" t="n">
        <v>2</v>
      </c>
      <c r="H48" s="5" t="n">
        <f aca="false">D48*F48</f>
        <v>48</v>
      </c>
      <c r="I48" s="5" t="n">
        <f aca="false">D48*G48</f>
        <v>80</v>
      </c>
      <c r="J48" s="4" t="s">
        <v>32</v>
      </c>
      <c r="K48" s="11" t="s">
        <v>33</v>
      </c>
      <c r="L48" s="12"/>
      <c r="M48" s="4" t="s">
        <v>123</v>
      </c>
    </row>
    <row r="49" customFormat="false" ht="15" hidden="false" customHeight="false" outlineLevel="0" collapsed="false">
      <c r="A49" s="4" t="s">
        <v>14</v>
      </c>
      <c r="B49" s="4" t="s">
        <v>60</v>
      </c>
      <c r="C49" s="4" t="s">
        <v>124</v>
      </c>
      <c r="D49" s="9" t="n">
        <v>3</v>
      </c>
      <c r="E49" s="4" t="s">
        <v>56</v>
      </c>
      <c r="F49" s="10" t="n">
        <v>15</v>
      </c>
      <c r="G49" s="10" t="n">
        <v>25</v>
      </c>
      <c r="H49" s="5" t="n">
        <f aca="false">D49*F49</f>
        <v>45</v>
      </c>
      <c r="I49" s="5" t="n">
        <f aca="false">D49*G49</f>
        <v>75</v>
      </c>
      <c r="J49" s="4" t="s">
        <v>32</v>
      </c>
      <c r="K49" s="11" t="s">
        <v>33</v>
      </c>
      <c r="L49" s="12"/>
      <c r="M49" s="4" t="s">
        <v>125</v>
      </c>
    </row>
    <row r="50" customFormat="false" ht="15" hidden="false" customHeight="false" outlineLevel="0" collapsed="false">
      <c r="A50" s="4" t="s">
        <v>14</v>
      </c>
      <c r="B50" s="4" t="s">
        <v>60</v>
      </c>
      <c r="C50" s="4" t="s">
        <v>126</v>
      </c>
      <c r="D50" s="9" t="n">
        <v>24</v>
      </c>
      <c r="E50" s="4" t="s">
        <v>127</v>
      </c>
      <c r="F50" s="10" t="n">
        <v>2.5</v>
      </c>
      <c r="G50" s="10" t="n">
        <v>4</v>
      </c>
      <c r="H50" s="5" t="n">
        <f aca="false">D50*F50</f>
        <v>60</v>
      </c>
      <c r="I50" s="5" t="n">
        <f aca="false">D50*G50</f>
        <v>96</v>
      </c>
      <c r="J50" s="4" t="s">
        <v>32</v>
      </c>
      <c r="K50" s="11" t="s">
        <v>33</v>
      </c>
      <c r="L50" s="12"/>
      <c r="M50" s="4" t="s">
        <v>128</v>
      </c>
    </row>
    <row r="51" customFormat="false" ht="15" hidden="false" customHeight="false" outlineLevel="0" collapsed="false">
      <c r="A51" s="4" t="s">
        <v>14</v>
      </c>
      <c r="B51" s="4" t="s">
        <v>60</v>
      </c>
      <c r="C51" s="4" t="s">
        <v>129</v>
      </c>
      <c r="D51" s="9" t="n">
        <v>25</v>
      </c>
      <c r="E51" s="4" t="s">
        <v>116</v>
      </c>
      <c r="F51" s="10" t="n">
        <v>0.8</v>
      </c>
      <c r="G51" s="10" t="n">
        <v>2</v>
      </c>
      <c r="H51" s="5" t="n">
        <f aca="false">D51*F51</f>
        <v>20</v>
      </c>
      <c r="I51" s="5" t="n">
        <f aca="false">D51*G51</f>
        <v>50</v>
      </c>
      <c r="J51" s="4" t="s">
        <v>32</v>
      </c>
      <c r="K51" s="11" t="s">
        <v>33</v>
      </c>
      <c r="L51" s="12"/>
      <c r="M51" s="4" t="s">
        <v>130</v>
      </c>
    </row>
    <row r="52" customFormat="false" ht="15" hidden="false" customHeight="false" outlineLevel="0" collapsed="false">
      <c r="A52" s="4" t="s">
        <v>14</v>
      </c>
      <c r="B52" s="4" t="s">
        <v>60</v>
      </c>
      <c r="C52" s="4" t="s">
        <v>131</v>
      </c>
      <c r="D52" s="9" t="n">
        <v>25</v>
      </c>
      <c r="E52" s="4" t="s">
        <v>116</v>
      </c>
      <c r="F52" s="10" t="n">
        <v>0.6</v>
      </c>
      <c r="G52" s="10" t="n">
        <v>1</v>
      </c>
      <c r="H52" s="5" t="n">
        <f aca="false">D52*F52</f>
        <v>15</v>
      </c>
      <c r="I52" s="5" t="n">
        <f aca="false">D52*G52</f>
        <v>25</v>
      </c>
      <c r="J52" s="4" t="s">
        <v>32</v>
      </c>
      <c r="K52" s="11" t="s">
        <v>33</v>
      </c>
      <c r="L52" s="12"/>
      <c r="M52" s="4" t="s">
        <v>132</v>
      </c>
    </row>
    <row r="53" customFormat="false" ht="15" hidden="false" customHeight="false" outlineLevel="0" collapsed="false">
      <c r="A53" s="4" t="s">
        <v>14</v>
      </c>
      <c r="B53" s="4" t="s">
        <v>60</v>
      </c>
      <c r="C53" s="4" t="s">
        <v>133</v>
      </c>
      <c r="D53" s="9" t="n">
        <v>25</v>
      </c>
      <c r="E53" s="4" t="s">
        <v>116</v>
      </c>
      <c r="F53" s="10" t="n">
        <v>5</v>
      </c>
      <c r="G53" s="10" t="n">
        <v>9</v>
      </c>
      <c r="H53" s="5" t="n">
        <f aca="false">D53*F53</f>
        <v>125</v>
      </c>
      <c r="I53" s="5" t="n">
        <f aca="false">D53*G53</f>
        <v>225</v>
      </c>
      <c r="J53" s="4" t="s">
        <v>32</v>
      </c>
      <c r="K53" s="11" t="s">
        <v>33</v>
      </c>
      <c r="L53" s="12"/>
      <c r="M53" s="4" t="s">
        <v>132</v>
      </c>
    </row>
    <row r="54" customFormat="false" ht="15" hidden="false" customHeight="false" outlineLevel="0" collapsed="false">
      <c r="A54" s="4" t="s">
        <v>14</v>
      </c>
      <c r="B54" s="4" t="s">
        <v>60</v>
      </c>
      <c r="C54" s="4" t="s">
        <v>134</v>
      </c>
      <c r="D54" s="9" t="n">
        <v>90</v>
      </c>
      <c r="E54" s="4" t="s">
        <v>135</v>
      </c>
      <c r="F54" s="10" t="n">
        <v>2.5</v>
      </c>
      <c r="G54" s="10" t="n">
        <v>4.5</v>
      </c>
      <c r="H54" s="5" t="n">
        <f aca="false">D54*F54</f>
        <v>225</v>
      </c>
      <c r="I54" s="5" t="n">
        <f aca="false">D54*G54</f>
        <v>405</v>
      </c>
      <c r="J54" s="4" t="s">
        <v>32</v>
      </c>
      <c r="K54" s="11" t="s">
        <v>33</v>
      </c>
      <c r="L54" s="12"/>
      <c r="M54" s="4" t="s">
        <v>136</v>
      </c>
    </row>
    <row r="55" customFormat="false" ht="15" hidden="false" customHeight="false" outlineLevel="0" collapsed="false">
      <c r="A55" s="4" t="s">
        <v>14</v>
      </c>
      <c r="B55" s="4" t="s">
        <v>60</v>
      </c>
      <c r="C55" s="4" t="s">
        <v>137</v>
      </c>
      <c r="D55" s="9" t="n">
        <v>180</v>
      </c>
      <c r="E55" s="4" t="s">
        <v>135</v>
      </c>
      <c r="F55" s="10" t="n">
        <v>1</v>
      </c>
      <c r="G55" s="10" t="n">
        <v>2</v>
      </c>
      <c r="H55" s="5" t="n">
        <f aca="false">D55*F55</f>
        <v>180</v>
      </c>
      <c r="I55" s="5" t="n">
        <f aca="false">D55*G55</f>
        <v>360</v>
      </c>
      <c r="J55" s="4" t="s">
        <v>32</v>
      </c>
      <c r="K55" s="11" t="s">
        <v>33</v>
      </c>
      <c r="L55" s="12"/>
      <c r="M55" s="4" t="s">
        <v>138</v>
      </c>
    </row>
    <row r="56" customFormat="false" ht="15" hidden="false" customHeight="false" outlineLevel="0" collapsed="false">
      <c r="A56" s="4" t="s">
        <v>14</v>
      </c>
      <c r="B56" s="4" t="s">
        <v>60</v>
      </c>
      <c r="C56" s="4" t="s">
        <v>139</v>
      </c>
      <c r="D56" s="9" t="n">
        <v>90</v>
      </c>
      <c r="E56" s="4" t="s">
        <v>135</v>
      </c>
      <c r="F56" s="10" t="n">
        <v>1.5</v>
      </c>
      <c r="G56" s="10" t="n">
        <v>3</v>
      </c>
      <c r="H56" s="5" t="n">
        <f aca="false">D56*F56</f>
        <v>135</v>
      </c>
      <c r="I56" s="5" t="n">
        <f aca="false">D56*G56</f>
        <v>270</v>
      </c>
      <c r="J56" s="4" t="s">
        <v>32</v>
      </c>
      <c r="K56" s="11" t="s">
        <v>33</v>
      </c>
      <c r="L56" s="12"/>
      <c r="M56" s="4" t="s">
        <v>140</v>
      </c>
    </row>
    <row r="57" customFormat="false" ht="15" hidden="false" customHeight="false" outlineLevel="0" collapsed="false">
      <c r="A57" s="4" t="s">
        <v>14</v>
      </c>
      <c r="B57" s="4" t="s">
        <v>60</v>
      </c>
      <c r="C57" s="4" t="s">
        <v>141</v>
      </c>
      <c r="D57" s="9" t="n">
        <v>1</v>
      </c>
      <c r="E57" s="4" t="s">
        <v>53</v>
      </c>
      <c r="F57" s="10" t="n">
        <v>250</v>
      </c>
      <c r="G57" s="10" t="n">
        <v>400</v>
      </c>
      <c r="H57" s="5" t="n">
        <f aca="false">D57*F57</f>
        <v>250</v>
      </c>
      <c r="I57" s="5" t="n">
        <f aca="false">D57*G57</f>
        <v>400</v>
      </c>
      <c r="J57" s="4" t="s">
        <v>32</v>
      </c>
      <c r="K57" s="11" t="s">
        <v>33</v>
      </c>
      <c r="L57" s="12"/>
      <c r="M57" s="4" t="s">
        <v>121</v>
      </c>
    </row>
    <row r="58" customFormat="false" ht="15" hidden="false" customHeight="false" outlineLevel="0" collapsed="false">
      <c r="A58" s="4" t="s">
        <v>14</v>
      </c>
      <c r="B58" s="4" t="s">
        <v>60</v>
      </c>
      <c r="C58" s="4" t="s">
        <v>142</v>
      </c>
      <c r="D58" s="9" t="n">
        <v>1</v>
      </c>
      <c r="E58" s="4" t="s">
        <v>53</v>
      </c>
      <c r="F58" s="10" t="n">
        <v>100</v>
      </c>
      <c r="G58" s="10" t="n">
        <v>200</v>
      </c>
      <c r="H58" s="5" t="n">
        <f aca="false">D58*F58</f>
        <v>100</v>
      </c>
      <c r="I58" s="5" t="n">
        <f aca="false">D58*G58</f>
        <v>200</v>
      </c>
      <c r="J58" s="4" t="s">
        <v>32</v>
      </c>
      <c r="K58" s="11" t="s">
        <v>33</v>
      </c>
      <c r="L58" s="12"/>
      <c r="M58" s="4"/>
    </row>
    <row r="59" customFormat="false" ht="15" hidden="false" customHeight="false" outlineLevel="0" collapsed="false">
      <c r="A59" s="4" t="s">
        <v>14</v>
      </c>
      <c r="B59" s="4" t="s">
        <v>60</v>
      </c>
      <c r="C59" s="4" t="s">
        <v>143</v>
      </c>
      <c r="D59" s="9" t="n">
        <v>10</v>
      </c>
      <c r="E59" s="4" t="s">
        <v>31</v>
      </c>
      <c r="F59" s="10" t="n">
        <v>8</v>
      </c>
      <c r="G59" s="10" t="n">
        <v>12</v>
      </c>
      <c r="H59" s="5" t="n">
        <f aca="false">D59*F59</f>
        <v>80</v>
      </c>
      <c r="I59" s="5" t="n">
        <f aca="false">D59*G59</f>
        <v>120</v>
      </c>
      <c r="J59" s="4" t="s">
        <v>32</v>
      </c>
      <c r="K59" s="11" t="s">
        <v>33</v>
      </c>
      <c r="L59" s="12"/>
      <c r="M59" s="4" t="s">
        <v>144</v>
      </c>
    </row>
    <row r="60" customFormat="false" ht="15" hidden="false" customHeight="false" outlineLevel="0" collapsed="false">
      <c r="A60" s="4" t="s">
        <v>14</v>
      </c>
      <c r="B60" s="4" t="s">
        <v>60</v>
      </c>
      <c r="C60" s="4" t="s">
        <v>145</v>
      </c>
      <c r="D60" s="9" t="n">
        <v>1</v>
      </c>
      <c r="E60" s="4" t="s">
        <v>102</v>
      </c>
      <c r="F60" s="10" t="n">
        <v>40</v>
      </c>
      <c r="G60" s="10" t="n">
        <v>60</v>
      </c>
      <c r="H60" s="5" t="n">
        <f aca="false">D60*F60</f>
        <v>40</v>
      </c>
      <c r="I60" s="5" t="n">
        <f aca="false">D60*G60</f>
        <v>60</v>
      </c>
      <c r="J60" s="4" t="s">
        <v>32</v>
      </c>
      <c r="K60" s="11" t="s">
        <v>33</v>
      </c>
      <c r="L60" s="12"/>
      <c r="M60" s="4"/>
    </row>
    <row r="61" customFormat="false" ht="15" hidden="false" customHeight="false" outlineLevel="0" collapsed="false">
      <c r="A61" s="4" t="s">
        <v>14</v>
      </c>
      <c r="B61" s="4" t="s">
        <v>63</v>
      </c>
      <c r="C61" s="4" t="s">
        <v>146</v>
      </c>
      <c r="D61" s="9" t="n">
        <v>24</v>
      </c>
      <c r="E61" s="4" t="s">
        <v>31</v>
      </c>
      <c r="F61" s="10" t="n">
        <v>2.5</v>
      </c>
      <c r="G61" s="10" t="n">
        <v>3.5</v>
      </c>
      <c r="H61" s="5" t="n">
        <f aca="false">D61*F61</f>
        <v>60</v>
      </c>
      <c r="I61" s="5" t="n">
        <f aca="false">D61*G61</f>
        <v>84</v>
      </c>
      <c r="J61" s="4" t="s">
        <v>32</v>
      </c>
      <c r="K61" s="11" t="s">
        <v>33</v>
      </c>
      <c r="L61" s="12"/>
      <c r="M61" s="4"/>
    </row>
    <row r="62" customFormat="false" ht="15" hidden="false" customHeight="false" outlineLevel="0" collapsed="false">
      <c r="A62" s="4" t="s">
        <v>14</v>
      </c>
      <c r="B62" s="4" t="s">
        <v>71</v>
      </c>
      <c r="C62" s="4" t="s">
        <v>147</v>
      </c>
      <c r="D62" s="9" t="n">
        <v>1</v>
      </c>
      <c r="E62" s="4" t="s">
        <v>53</v>
      </c>
      <c r="F62" s="10" t="n">
        <v>100</v>
      </c>
      <c r="G62" s="10" t="n">
        <v>180</v>
      </c>
      <c r="H62" s="5" t="n">
        <f aca="false">D62*F62</f>
        <v>100</v>
      </c>
      <c r="I62" s="5" t="n">
        <f aca="false">D62*G62</f>
        <v>180</v>
      </c>
      <c r="J62" s="4" t="s">
        <v>32</v>
      </c>
      <c r="K62" s="11" t="s">
        <v>33</v>
      </c>
      <c r="L62" s="12"/>
      <c r="M62" s="4"/>
    </row>
    <row r="63" customFormat="false" ht="15" hidden="false" customHeight="false" outlineLevel="0" collapsed="false">
      <c r="A63" s="4" t="s">
        <v>14</v>
      </c>
      <c r="B63" s="4" t="s">
        <v>71</v>
      </c>
      <c r="C63" s="4" t="s">
        <v>148</v>
      </c>
      <c r="D63" s="9" t="n">
        <v>1</v>
      </c>
      <c r="E63" s="4" t="s">
        <v>53</v>
      </c>
      <c r="F63" s="10" t="n">
        <v>80</v>
      </c>
      <c r="G63" s="10" t="n">
        <v>150</v>
      </c>
      <c r="H63" s="5" t="n">
        <f aca="false">D63*F63</f>
        <v>80</v>
      </c>
      <c r="I63" s="5" t="n">
        <f aca="false">D63*G63</f>
        <v>150</v>
      </c>
      <c r="J63" s="4" t="s">
        <v>32</v>
      </c>
      <c r="K63" s="11" t="s">
        <v>33</v>
      </c>
      <c r="L63" s="12"/>
      <c r="M63" s="4"/>
    </row>
    <row r="64" customFormat="false" ht="15" hidden="false" customHeight="false" outlineLevel="0" collapsed="false">
      <c r="A64" s="4" t="s">
        <v>14</v>
      </c>
      <c r="B64" s="4" t="s">
        <v>71</v>
      </c>
      <c r="C64" s="4" t="s">
        <v>149</v>
      </c>
      <c r="D64" s="9" t="n">
        <v>1</v>
      </c>
      <c r="E64" s="4" t="s">
        <v>51</v>
      </c>
      <c r="F64" s="10" t="n">
        <v>30</v>
      </c>
      <c r="G64" s="10" t="n">
        <v>50</v>
      </c>
      <c r="H64" s="5" t="n">
        <f aca="false">D64*F64</f>
        <v>30</v>
      </c>
      <c r="I64" s="5" t="n">
        <f aca="false">D64*G64</f>
        <v>50</v>
      </c>
      <c r="J64" s="4" t="s">
        <v>32</v>
      </c>
      <c r="K64" s="11" t="s">
        <v>33</v>
      </c>
      <c r="L64" s="12"/>
      <c r="M64" s="4"/>
    </row>
    <row r="65" customFormat="false" ht="15" hidden="false" customHeight="false" outlineLevel="0" collapsed="false">
      <c r="A65" s="4" t="s">
        <v>14</v>
      </c>
      <c r="B65" s="4" t="s">
        <v>71</v>
      </c>
      <c r="C65" s="4" t="s">
        <v>150</v>
      </c>
      <c r="D65" s="9" t="n">
        <v>1</v>
      </c>
      <c r="E65" s="4" t="s">
        <v>31</v>
      </c>
      <c r="F65" s="10" t="n">
        <v>10</v>
      </c>
      <c r="G65" s="10" t="n">
        <v>15</v>
      </c>
      <c r="H65" s="5" t="n">
        <f aca="false">D65*F65</f>
        <v>10</v>
      </c>
      <c r="I65" s="5" t="n">
        <f aca="false">D65*G65</f>
        <v>15</v>
      </c>
      <c r="J65" s="4" t="s">
        <v>32</v>
      </c>
      <c r="K65" s="11" t="s">
        <v>33</v>
      </c>
      <c r="L65" s="12"/>
      <c r="M65" s="4"/>
    </row>
    <row r="66" customFormat="false" ht="15" hidden="false" customHeight="false" outlineLevel="0" collapsed="false">
      <c r="A66" s="4" t="s">
        <v>14</v>
      </c>
      <c r="B66" s="4" t="s">
        <v>71</v>
      </c>
      <c r="C66" s="4" t="s">
        <v>151</v>
      </c>
      <c r="D66" s="9" t="n">
        <v>4</v>
      </c>
      <c r="E66" s="4" t="s">
        <v>152</v>
      </c>
      <c r="F66" s="10" t="n">
        <v>70</v>
      </c>
      <c r="G66" s="10" t="n">
        <v>110</v>
      </c>
      <c r="H66" s="5" t="n">
        <f aca="false">D66*F66</f>
        <v>280</v>
      </c>
      <c r="I66" s="5" t="n">
        <f aca="false">D66*G66</f>
        <v>440</v>
      </c>
      <c r="J66" s="4" t="s">
        <v>95</v>
      </c>
      <c r="K66" s="11" t="s">
        <v>33</v>
      </c>
      <c r="L66" s="12"/>
      <c r="M66" s="4"/>
    </row>
    <row r="67" customFormat="false" ht="15" hidden="false" customHeight="false" outlineLevel="0" collapsed="false">
      <c r="A67" s="4" t="s">
        <v>14</v>
      </c>
      <c r="B67" s="4" t="s">
        <v>153</v>
      </c>
      <c r="C67" s="4" t="s">
        <v>154</v>
      </c>
      <c r="D67" s="9" t="n">
        <v>120</v>
      </c>
      <c r="E67" s="4" t="s">
        <v>155</v>
      </c>
      <c r="F67" s="10" t="n">
        <v>0.6</v>
      </c>
      <c r="G67" s="10" t="n">
        <v>0.9</v>
      </c>
      <c r="H67" s="5" t="n">
        <f aca="false">D67*F67</f>
        <v>72</v>
      </c>
      <c r="I67" s="5" t="n">
        <f aca="false">D67*G67</f>
        <v>108</v>
      </c>
      <c r="J67" s="4" t="s">
        <v>32</v>
      </c>
      <c r="K67" s="11" t="s">
        <v>33</v>
      </c>
      <c r="L67" s="12"/>
      <c r="M67" s="4"/>
    </row>
    <row r="68" customFormat="false" ht="15" hidden="false" customHeight="false" outlineLevel="0" collapsed="false">
      <c r="A68" s="4" t="s">
        <v>14</v>
      </c>
      <c r="B68" s="4" t="s">
        <v>153</v>
      </c>
      <c r="C68" s="4" t="s">
        <v>156</v>
      </c>
      <c r="D68" s="9" t="n">
        <v>1</v>
      </c>
      <c r="E68" s="4" t="s">
        <v>53</v>
      </c>
      <c r="F68" s="10" t="n">
        <v>80</v>
      </c>
      <c r="G68" s="10" t="n">
        <v>140</v>
      </c>
      <c r="H68" s="5" t="n">
        <f aca="false">D68*F68</f>
        <v>80</v>
      </c>
      <c r="I68" s="5" t="n">
        <f aca="false">D68*G68</f>
        <v>140</v>
      </c>
      <c r="J68" s="4" t="s">
        <v>32</v>
      </c>
      <c r="K68" s="11" t="s">
        <v>33</v>
      </c>
      <c r="L68" s="12"/>
      <c r="M68" s="4"/>
    </row>
    <row r="69" customFormat="false" ht="15" hidden="false" customHeight="false" outlineLevel="0" collapsed="false">
      <c r="A69" s="4" t="s">
        <v>14</v>
      </c>
      <c r="B69" s="4" t="s">
        <v>153</v>
      </c>
      <c r="C69" s="4" t="s">
        <v>157</v>
      </c>
      <c r="D69" s="9" t="n">
        <v>1</v>
      </c>
      <c r="E69" s="4" t="s">
        <v>51</v>
      </c>
      <c r="F69" s="10" t="n">
        <v>40</v>
      </c>
      <c r="G69" s="10" t="n">
        <v>70</v>
      </c>
      <c r="H69" s="5" t="n">
        <f aca="false">D69*F69</f>
        <v>40</v>
      </c>
      <c r="I69" s="5" t="n">
        <f aca="false">D69*G69</f>
        <v>70</v>
      </c>
      <c r="J69" s="4" t="s">
        <v>32</v>
      </c>
      <c r="K69" s="11" t="s">
        <v>33</v>
      </c>
      <c r="L69" s="12"/>
      <c r="M69" s="4"/>
    </row>
    <row r="70" customFormat="false" ht="15" hidden="false" customHeight="false" outlineLevel="0" collapsed="false">
      <c r="A70" s="4" t="s">
        <v>14</v>
      </c>
      <c r="B70" s="4" t="s">
        <v>158</v>
      </c>
      <c r="C70" s="4" t="s">
        <v>159</v>
      </c>
      <c r="D70" s="9" t="n">
        <v>2</v>
      </c>
      <c r="E70" s="4" t="s">
        <v>31</v>
      </c>
      <c r="F70" s="10" t="n">
        <v>25</v>
      </c>
      <c r="G70" s="10" t="n">
        <v>40</v>
      </c>
      <c r="H70" s="5" t="n">
        <f aca="false">D70*F70</f>
        <v>50</v>
      </c>
      <c r="I70" s="5" t="n">
        <f aca="false">D70*G70</f>
        <v>80</v>
      </c>
      <c r="J70" s="4" t="s">
        <v>32</v>
      </c>
      <c r="K70" s="11" t="s">
        <v>33</v>
      </c>
      <c r="L70" s="12"/>
      <c r="M70" s="4"/>
    </row>
    <row r="71" customFormat="false" ht="15" hidden="false" customHeight="false" outlineLevel="0" collapsed="false">
      <c r="A71" s="4" t="s">
        <v>14</v>
      </c>
      <c r="B71" s="4" t="s">
        <v>158</v>
      </c>
      <c r="C71" s="4" t="s">
        <v>160</v>
      </c>
      <c r="D71" s="9" t="n">
        <v>1</v>
      </c>
      <c r="E71" s="4" t="s">
        <v>161</v>
      </c>
      <c r="F71" s="10" t="n">
        <v>25</v>
      </c>
      <c r="G71" s="10" t="n">
        <v>40</v>
      </c>
      <c r="H71" s="5" t="n">
        <f aca="false">D71*F71</f>
        <v>25</v>
      </c>
      <c r="I71" s="5" t="n">
        <f aca="false">D71*G71</f>
        <v>40</v>
      </c>
      <c r="J71" s="4" t="s">
        <v>32</v>
      </c>
      <c r="K71" s="11" t="s">
        <v>33</v>
      </c>
      <c r="L71" s="12"/>
      <c r="M71" s="4"/>
    </row>
    <row r="72" customFormat="false" ht="15" hidden="false" customHeight="false" outlineLevel="0" collapsed="false">
      <c r="A72" s="4" t="s">
        <v>14</v>
      </c>
      <c r="B72" s="4" t="s">
        <v>158</v>
      </c>
      <c r="C72" s="4" t="s">
        <v>162</v>
      </c>
      <c r="D72" s="9" t="n">
        <v>40</v>
      </c>
      <c r="E72" s="4" t="s">
        <v>116</v>
      </c>
      <c r="F72" s="10" t="n">
        <v>0.5</v>
      </c>
      <c r="G72" s="10" t="n">
        <v>0.75</v>
      </c>
      <c r="H72" s="5" t="n">
        <f aca="false">D72*F72</f>
        <v>20</v>
      </c>
      <c r="I72" s="5" t="n">
        <f aca="false">D72*G72</f>
        <v>30</v>
      </c>
      <c r="J72" s="4" t="s">
        <v>32</v>
      </c>
      <c r="K72" s="11" t="s">
        <v>33</v>
      </c>
      <c r="L72" s="12"/>
      <c r="M72" s="4"/>
    </row>
    <row r="73" customFormat="false" ht="15" hidden="false" customHeight="false" outlineLevel="0" collapsed="false">
      <c r="A73" s="4" t="s">
        <v>14</v>
      </c>
      <c r="B73" s="4" t="s">
        <v>158</v>
      </c>
      <c r="C73" s="4" t="s">
        <v>163</v>
      </c>
      <c r="D73" s="9" t="n">
        <v>1</v>
      </c>
      <c r="E73" s="4" t="s">
        <v>53</v>
      </c>
      <c r="F73" s="10" t="n">
        <v>20</v>
      </c>
      <c r="G73" s="10" t="n">
        <v>30</v>
      </c>
      <c r="H73" s="5" t="n">
        <f aca="false">D73*F73</f>
        <v>20</v>
      </c>
      <c r="I73" s="5" t="n">
        <f aca="false">D73*G73</f>
        <v>30</v>
      </c>
      <c r="J73" s="4" t="s">
        <v>32</v>
      </c>
      <c r="K73" s="11" t="s">
        <v>33</v>
      </c>
      <c r="L73" s="12"/>
      <c r="M73" s="4"/>
    </row>
    <row r="74" customFormat="false" ht="15" hidden="false" customHeight="false" outlineLevel="0" collapsed="false">
      <c r="A74" s="4" t="s">
        <v>14</v>
      </c>
      <c r="B74" s="4" t="s">
        <v>41</v>
      </c>
      <c r="C74" s="4" t="s">
        <v>164</v>
      </c>
      <c r="D74" s="9" t="n">
        <v>1</v>
      </c>
      <c r="E74" s="4" t="s">
        <v>31</v>
      </c>
      <c r="F74" s="10" t="n">
        <v>15</v>
      </c>
      <c r="G74" s="10" t="n">
        <v>25</v>
      </c>
      <c r="H74" s="5" t="n">
        <f aca="false">D74*F74</f>
        <v>15</v>
      </c>
      <c r="I74" s="5" t="n">
        <f aca="false">D74*G74</f>
        <v>25</v>
      </c>
      <c r="J74" s="4" t="s">
        <v>32</v>
      </c>
      <c r="K74" s="11" t="s">
        <v>33</v>
      </c>
      <c r="L74" s="12"/>
      <c r="M74" s="4"/>
    </row>
    <row r="75" customFormat="false" ht="15" hidden="false" customHeight="false" outlineLevel="0" collapsed="false">
      <c r="A75" s="4" t="s">
        <v>14</v>
      </c>
      <c r="B75" s="4" t="s">
        <v>41</v>
      </c>
      <c r="C75" s="4" t="s">
        <v>165</v>
      </c>
      <c r="D75" s="9" t="n">
        <v>1</v>
      </c>
      <c r="E75" s="4" t="s">
        <v>31</v>
      </c>
      <c r="F75" s="10" t="n">
        <v>20</v>
      </c>
      <c r="G75" s="10" t="n">
        <v>40</v>
      </c>
      <c r="H75" s="5" t="n">
        <f aca="false">D75*F75</f>
        <v>20</v>
      </c>
      <c r="I75" s="5" t="n">
        <f aca="false">D75*G75</f>
        <v>40</v>
      </c>
      <c r="J75" s="4" t="s">
        <v>32</v>
      </c>
      <c r="K75" s="11" t="s">
        <v>33</v>
      </c>
      <c r="L75" s="12"/>
      <c r="M75" s="4"/>
    </row>
    <row r="76" customFormat="false" ht="15" hidden="false" customHeight="false" outlineLevel="0" collapsed="false">
      <c r="A76" s="4" t="s">
        <v>14</v>
      </c>
      <c r="B76" s="4" t="s">
        <v>68</v>
      </c>
      <c r="C76" s="4" t="s">
        <v>166</v>
      </c>
      <c r="D76" s="9" t="n">
        <v>1</v>
      </c>
      <c r="E76" s="4" t="s">
        <v>51</v>
      </c>
      <c r="F76" s="10" t="n">
        <v>30</v>
      </c>
      <c r="G76" s="10" t="n">
        <v>60</v>
      </c>
      <c r="H76" s="5" t="n">
        <f aca="false">D76*F76</f>
        <v>30</v>
      </c>
      <c r="I76" s="5" t="n">
        <f aca="false">D76*G76</f>
        <v>60</v>
      </c>
      <c r="J76" s="4" t="s">
        <v>32</v>
      </c>
      <c r="K76" s="11" t="s">
        <v>33</v>
      </c>
      <c r="L76" s="12"/>
      <c r="M76" s="4"/>
    </row>
    <row r="77" customFormat="false" ht="15" hidden="false" customHeight="false" outlineLevel="0" collapsed="false">
      <c r="A77" s="4" t="s">
        <v>14</v>
      </c>
      <c r="B77" s="4" t="s">
        <v>68</v>
      </c>
      <c r="C77" s="4" t="s">
        <v>167</v>
      </c>
      <c r="D77" s="9" t="n">
        <v>4</v>
      </c>
      <c r="E77" s="4" t="s">
        <v>31</v>
      </c>
      <c r="F77" s="10" t="n">
        <v>30</v>
      </c>
      <c r="G77" s="10" t="n">
        <v>60</v>
      </c>
      <c r="H77" s="5" t="n">
        <f aca="false">D77*F77</f>
        <v>120</v>
      </c>
      <c r="I77" s="5" t="n">
        <f aca="false">D77*G77</f>
        <v>240</v>
      </c>
      <c r="J77" s="4" t="s">
        <v>95</v>
      </c>
      <c r="K77" s="11" t="s">
        <v>33</v>
      </c>
      <c r="L77" s="12"/>
      <c r="M77" s="4"/>
    </row>
    <row r="78" customFormat="false" ht="15" hidden="false" customHeight="false" outlineLevel="0" collapsed="false">
      <c r="A78" s="4" t="s">
        <v>14</v>
      </c>
      <c r="B78" s="4" t="s">
        <v>168</v>
      </c>
      <c r="C78" s="4" t="s">
        <v>169</v>
      </c>
      <c r="D78" s="9" t="n">
        <v>4</v>
      </c>
      <c r="E78" s="4" t="s">
        <v>170</v>
      </c>
      <c r="F78" s="10" t="n">
        <v>20</v>
      </c>
      <c r="G78" s="10" t="n">
        <v>35</v>
      </c>
      <c r="H78" s="5" t="n">
        <f aca="false">D78*F78</f>
        <v>80</v>
      </c>
      <c r="I78" s="5" t="n">
        <f aca="false">D78*G78</f>
        <v>140</v>
      </c>
      <c r="J78" s="4" t="s">
        <v>32</v>
      </c>
      <c r="K78" s="11" t="s">
        <v>33</v>
      </c>
      <c r="L78" s="12"/>
      <c r="M78" s="4"/>
    </row>
    <row r="79" customFormat="false" ht="15" hidden="false" customHeight="false" outlineLevel="0" collapsed="false">
      <c r="A79" s="4" t="s">
        <v>14</v>
      </c>
      <c r="B79" s="4" t="s">
        <v>46</v>
      </c>
      <c r="C79" s="4" t="s">
        <v>171</v>
      </c>
      <c r="D79" s="9" t="n">
        <v>8</v>
      </c>
      <c r="E79" s="4" t="s">
        <v>31</v>
      </c>
      <c r="F79" s="10" t="n">
        <v>3</v>
      </c>
      <c r="G79" s="10" t="n">
        <v>6</v>
      </c>
      <c r="H79" s="5" t="n">
        <f aca="false">D79*F79</f>
        <v>24</v>
      </c>
      <c r="I79" s="5" t="n">
        <f aca="false">D79*G79</f>
        <v>48</v>
      </c>
      <c r="J79" s="4" t="s">
        <v>32</v>
      </c>
      <c r="K79" s="11" t="s">
        <v>33</v>
      </c>
      <c r="L79" s="12"/>
      <c r="M79" s="4"/>
    </row>
    <row r="80" customFormat="false" ht="15" hidden="false" customHeight="false" outlineLevel="0" collapsed="false">
      <c r="A80" s="4" t="s">
        <v>14</v>
      </c>
      <c r="B80" s="4" t="s">
        <v>172</v>
      </c>
      <c r="C80" s="4" t="s">
        <v>173</v>
      </c>
      <c r="D80" s="9" t="n">
        <v>1</v>
      </c>
      <c r="E80" s="4" t="s">
        <v>31</v>
      </c>
      <c r="F80" s="10" t="n">
        <v>40</v>
      </c>
      <c r="G80" s="10" t="n">
        <v>70</v>
      </c>
      <c r="H80" s="5" t="n">
        <f aca="false">D80*F80</f>
        <v>40</v>
      </c>
      <c r="I80" s="5" t="n">
        <f aca="false">D80*G80</f>
        <v>70</v>
      </c>
      <c r="J80" s="4" t="s">
        <v>32</v>
      </c>
      <c r="K80" s="11" t="s">
        <v>33</v>
      </c>
      <c r="L80" s="12"/>
      <c r="M80" s="4"/>
    </row>
    <row r="81" customFormat="false" ht="15" hidden="false" customHeight="false" outlineLevel="0" collapsed="false">
      <c r="A81" s="4" t="s">
        <v>14</v>
      </c>
      <c r="B81" s="4" t="s">
        <v>172</v>
      </c>
      <c r="C81" s="4" t="s">
        <v>174</v>
      </c>
      <c r="D81" s="9" t="n">
        <v>1</v>
      </c>
      <c r="E81" s="4" t="s">
        <v>31</v>
      </c>
      <c r="F81" s="10" t="n">
        <v>25</v>
      </c>
      <c r="G81" s="10" t="n">
        <v>40</v>
      </c>
      <c r="H81" s="5" t="n">
        <f aca="false">D81*F81</f>
        <v>25</v>
      </c>
      <c r="I81" s="5" t="n">
        <f aca="false">D81*G81</f>
        <v>40</v>
      </c>
      <c r="J81" s="4" t="s">
        <v>32</v>
      </c>
      <c r="K81" s="11" t="s">
        <v>33</v>
      </c>
      <c r="L81" s="12"/>
      <c r="M81" s="4"/>
    </row>
    <row r="82" customFormat="false" ht="15" hidden="false" customHeight="false" outlineLevel="0" collapsed="false">
      <c r="A82" s="4" t="s">
        <v>14</v>
      </c>
      <c r="B82" s="4" t="s">
        <v>172</v>
      </c>
      <c r="C82" s="4" t="s">
        <v>175</v>
      </c>
      <c r="D82" s="9" t="n">
        <v>1</v>
      </c>
      <c r="E82" s="4" t="s">
        <v>53</v>
      </c>
      <c r="F82" s="10" t="n">
        <v>60</v>
      </c>
      <c r="G82" s="10" t="n">
        <v>100</v>
      </c>
      <c r="H82" s="5" t="n">
        <f aca="false">D82*F82</f>
        <v>60</v>
      </c>
      <c r="I82" s="5" t="n">
        <f aca="false">D82*G82</f>
        <v>100</v>
      </c>
      <c r="J82" s="4" t="s">
        <v>32</v>
      </c>
      <c r="K82" s="11" t="s">
        <v>33</v>
      </c>
      <c r="L82" s="12"/>
      <c r="M82" s="4"/>
    </row>
    <row r="83" customFormat="false" ht="15" hidden="false" customHeight="false" outlineLevel="0" collapsed="false">
      <c r="A83" s="4" t="s">
        <v>14</v>
      </c>
      <c r="B83" s="4" t="s">
        <v>54</v>
      </c>
      <c r="C83" s="4" t="s">
        <v>176</v>
      </c>
      <c r="D83" s="9" t="n">
        <v>1</v>
      </c>
      <c r="E83" s="4" t="s">
        <v>31</v>
      </c>
      <c r="F83" s="10" t="n">
        <v>80</v>
      </c>
      <c r="G83" s="10" t="n">
        <v>120</v>
      </c>
      <c r="H83" s="5" t="n">
        <f aca="false">D83*F83</f>
        <v>80</v>
      </c>
      <c r="I83" s="5" t="n">
        <f aca="false">D83*G83</f>
        <v>120</v>
      </c>
      <c r="J83" s="4" t="s">
        <v>95</v>
      </c>
      <c r="K83" s="11" t="s">
        <v>33</v>
      </c>
      <c r="L83" s="12"/>
      <c r="M83" s="4"/>
    </row>
    <row r="84" customFormat="false" ht="15" hidden="false" customHeight="false" outlineLevel="0" collapsed="false">
      <c r="A84" s="4" t="s">
        <v>14</v>
      </c>
      <c r="B84" s="4" t="s">
        <v>177</v>
      </c>
      <c r="C84" s="4" t="s">
        <v>178</v>
      </c>
      <c r="D84" s="9" t="n">
        <v>1</v>
      </c>
      <c r="E84" s="4" t="s">
        <v>53</v>
      </c>
      <c r="F84" s="10" t="n">
        <v>75</v>
      </c>
      <c r="G84" s="10" t="n">
        <v>150</v>
      </c>
      <c r="H84" s="5" t="n">
        <f aca="false">D84*F84</f>
        <v>75</v>
      </c>
      <c r="I84" s="5" t="n">
        <f aca="false">D84*G84</f>
        <v>150</v>
      </c>
      <c r="J84" s="4" t="s">
        <v>32</v>
      </c>
      <c r="K84" s="11" t="s">
        <v>33</v>
      </c>
      <c r="L84" s="12"/>
      <c r="M84" s="4"/>
    </row>
    <row r="85" customFormat="false" ht="15" hidden="false" customHeight="false" outlineLevel="0" collapsed="false">
      <c r="C85" s="13" t="s">
        <v>15</v>
      </c>
      <c r="H85" s="14" t="n">
        <f aca="false">SUM(H2:H84)</f>
        <v>8906</v>
      </c>
      <c r="I85" s="14" t="n">
        <f aca="false">SUM(I2:I84)</f>
        <v>15448</v>
      </c>
      <c r="L85" s="14" t="n">
        <f aca="false">SUM(L2:L84)</f>
        <v>0</v>
      </c>
    </row>
  </sheetData>
  <autoFilter ref="A1:M84"/>
  <conditionalFormatting sqref="A2:M84">
    <cfRule type="expression" priority="2" aboveAverage="0" equalAverage="0" bottom="0" percent="0" rank="0" text="" dxfId="5">
      <formula>$K2="Have"</formula>
    </cfRule>
  </conditionalFormatting>
  <dataValidations count="2">
    <dataValidation allowBlank="true" errorStyle="stop" operator="between" showDropDown="false" showErrorMessage="false" showInputMessage="false" sqref="K2:K84" type="list">
      <formula1>"Not bought,Ordered,Have"</formula1>
      <formula2>0</formula2>
    </dataValidation>
    <dataValidation allowBlank="false" errorStyle="stop" operator="between" showDropDown="false" showErrorMessage="false" showInputMessage="false" sqref="J2:J8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</cols>
  <sheetData>
    <row r="1" customFormat="false" ht="15" hidden="false" customHeight="false" outlineLevel="0" collapsed="false">
      <c r="A1" s="15" t="s">
        <v>179</v>
      </c>
      <c r="B1" s="15" t="s">
        <v>180</v>
      </c>
      <c r="C1" s="15" t="s">
        <v>181</v>
      </c>
      <c r="D1" s="15" t="s">
        <v>182</v>
      </c>
    </row>
    <row r="2" customFormat="false" ht="15" hidden="false" customHeight="false" outlineLevel="0" collapsed="false">
      <c r="A2" s="4" t="s">
        <v>183</v>
      </c>
      <c r="B2" s="4" t="s">
        <v>184</v>
      </c>
      <c r="C2" s="16" t="n">
        <v>46357</v>
      </c>
      <c r="D2" s="11"/>
    </row>
    <row r="3" customFormat="false" ht="15" hidden="false" customHeight="false" outlineLevel="0" collapsed="false">
      <c r="A3" s="4" t="s">
        <v>185</v>
      </c>
      <c r="B3" s="4" t="s">
        <v>184</v>
      </c>
      <c r="C3" s="16" t="n">
        <v>46357</v>
      </c>
      <c r="D3" s="11"/>
    </row>
    <row r="4" customFormat="false" ht="15" hidden="false" customHeight="false" outlineLevel="0" collapsed="false">
      <c r="A4" s="4" t="s">
        <v>186</v>
      </c>
      <c r="B4" s="4" t="s">
        <v>184</v>
      </c>
      <c r="C4" s="16" t="n">
        <v>46357</v>
      </c>
      <c r="D4" s="11"/>
    </row>
    <row r="5" customFormat="false" ht="15" hidden="false" customHeight="false" outlineLevel="0" collapsed="false">
      <c r="A5" s="4" t="s">
        <v>187</v>
      </c>
      <c r="B5" s="4" t="s">
        <v>188</v>
      </c>
      <c r="C5" s="16" t="n">
        <v>46419</v>
      </c>
      <c r="D5" s="11"/>
    </row>
    <row r="6" customFormat="false" ht="15" hidden="false" customHeight="false" outlineLevel="0" collapsed="false">
      <c r="A6" s="4" t="s">
        <v>189</v>
      </c>
      <c r="B6" s="4" t="s">
        <v>190</v>
      </c>
      <c r="C6" s="16" t="n">
        <v>46460</v>
      </c>
      <c r="D6" s="11"/>
    </row>
    <row r="7" customFormat="false" ht="15" hidden="false" customHeight="false" outlineLevel="0" collapsed="false">
      <c r="A7" s="4" t="s">
        <v>191</v>
      </c>
      <c r="B7" s="4" t="s">
        <v>192</v>
      </c>
      <c r="C7" s="16" t="n">
        <v>46661</v>
      </c>
      <c r="D7" s="11"/>
    </row>
    <row r="8" customFormat="false" ht="15" hidden="false" customHeight="false" outlineLevel="0" collapsed="false">
      <c r="A8" s="4" t="s">
        <v>193</v>
      </c>
      <c r="B8" s="4" t="s">
        <v>192</v>
      </c>
      <c r="C8" s="16" t="n">
        <v>46661</v>
      </c>
      <c r="D8" s="11"/>
    </row>
    <row r="9" customFormat="false" ht="15" hidden="false" customHeight="false" outlineLevel="0" collapsed="false">
      <c r="A9" s="4" t="s">
        <v>194</v>
      </c>
      <c r="B9" s="4" t="s">
        <v>192</v>
      </c>
      <c r="C9" s="16" t="n">
        <v>46661</v>
      </c>
      <c r="D9" s="11"/>
    </row>
    <row r="10" customFormat="false" ht="15" hidden="false" customHeight="false" outlineLevel="0" collapsed="false">
      <c r="A10" s="4" t="s">
        <v>195</v>
      </c>
      <c r="B10" s="4" t="s">
        <v>196</v>
      </c>
      <c r="C10" s="16" t="n">
        <v>46645</v>
      </c>
      <c r="D10" s="11"/>
    </row>
    <row r="11" customFormat="false" ht="15" hidden="false" customHeight="false" outlineLevel="0" collapsed="false">
      <c r="A11" s="4" t="s">
        <v>197</v>
      </c>
      <c r="B11" s="4" t="s">
        <v>192</v>
      </c>
      <c r="C11" s="16" t="n">
        <v>46661</v>
      </c>
      <c r="D11" s="11"/>
    </row>
  </sheetData>
  <dataValidations count="1">
    <dataValidation allowBlank="true" errorStyle="stop" operator="between" showDropDown="false" showErrorMessage="false" showInputMessage="false" sqref="D2:D2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2"/>
    <col collapsed="false" customWidth="true" hidden="false" outlineLevel="0" max="9" min="9" style="0" width="20"/>
    <col collapsed="false" customWidth="true" hidden="false" outlineLevel="0" max="10" min="10" style="0" width="8"/>
    <col collapsed="false" customWidth="true" hidden="false" outlineLevel="0" max="11" min="11" style="0" width="28"/>
  </cols>
  <sheetData>
    <row r="1" customFormat="false" ht="15" hidden="false" customHeight="false" outlineLevel="0" collapsed="false">
      <c r="A1" s="15" t="s">
        <v>198</v>
      </c>
      <c r="B1" s="15" t="s">
        <v>199</v>
      </c>
      <c r="C1" s="15" t="s">
        <v>200</v>
      </c>
      <c r="D1" s="15" t="s">
        <v>201</v>
      </c>
      <c r="E1" s="15" t="s">
        <v>202</v>
      </c>
      <c r="F1" s="15" t="s">
        <v>203</v>
      </c>
      <c r="G1" s="15" t="s">
        <v>28</v>
      </c>
      <c r="I1" s="13" t="s">
        <v>204</v>
      </c>
      <c r="J1" s="17" t="n">
        <f aca="false">SUM(D2:D101)</f>
        <v>2</v>
      </c>
    </row>
    <row r="2" customFormat="false" ht="15" hidden="false" customHeight="false" outlineLevel="0" collapsed="false">
      <c r="A2" s="18" t="n">
        <v>46336</v>
      </c>
      <c r="B2" s="19" t="n">
        <v>0.291666666666667</v>
      </c>
      <c r="C2" s="19" t="n">
        <v>0.375</v>
      </c>
      <c r="D2" s="20" t="n">
        <f aca="false">IF(AND(B2&lt;&gt;"",C2&lt;&gt;""),MOD(C2-B2,1)*24,"")</f>
        <v>2</v>
      </c>
      <c r="E2" s="11" t="s">
        <v>85</v>
      </c>
      <c r="F2" s="11" t="n">
        <v>0</v>
      </c>
      <c r="G2" s="11" t="s">
        <v>205</v>
      </c>
      <c r="I2" s="21" t="s">
        <v>206</v>
      </c>
      <c r="J2" s="22" t="n">
        <v>320</v>
      </c>
      <c r="K2" s="21" t="s">
        <v>207</v>
      </c>
    </row>
    <row r="3" customFormat="false" ht="15" hidden="false" customHeight="false" outlineLevel="0" collapsed="false">
      <c r="A3" s="18"/>
      <c r="B3" s="19"/>
      <c r="C3" s="19"/>
      <c r="D3" s="20" t="str">
        <f aca="false">IF(AND(B3&lt;&gt;"",C3&lt;&gt;""),MOD(C3-B3,1)*24,"")</f>
        <v/>
      </c>
      <c r="E3" s="11"/>
      <c r="F3" s="11"/>
      <c r="G3" s="11"/>
      <c r="I3" s="13" t="s">
        <v>208</v>
      </c>
      <c r="J3" s="17" t="n">
        <f aca="false">J2-J1</f>
        <v>318</v>
      </c>
    </row>
    <row r="4" customFormat="false" ht="15" hidden="false" customHeight="false" outlineLevel="0" collapsed="false">
      <c r="A4" s="18"/>
      <c r="B4" s="19"/>
      <c r="C4" s="19"/>
      <c r="D4" s="20" t="str">
        <f aca="false">IF(AND(B4&lt;&gt;"",C4&lt;&gt;""),MOD(C4-B4,1)*24,"")</f>
        <v/>
      </c>
      <c r="E4" s="11"/>
      <c r="F4" s="11"/>
      <c r="G4" s="11"/>
    </row>
    <row r="5" customFormat="false" ht="15" hidden="false" customHeight="false" outlineLevel="0" collapsed="false">
      <c r="A5" s="18"/>
      <c r="B5" s="19"/>
      <c r="C5" s="19"/>
      <c r="D5" s="20" t="str">
        <f aca="false">IF(AND(B5&lt;&gt;"",C5&lt;&gt;""),MOD(C5-B5,1)*24,"")</f>
        <v/>
      </c>
      <c r="E5" s="11"/>
      <c r="F5" s="11"/>
      <c r="G5" s="11"/>
    </row>
    <row r="6" customFormat="false" ht="15" hidden="false" customHeight="false" outlineLevel="0" collapsed="false">
      <c r="A6" s="18"/>
      <c r="B6" s="19"/>
      <c r="C6" s="19"/>
      <c r="D6" s="20" t="str">
        <f aca="false">IF(AND(B6&lt;&gt;"",C6&lt;&gt;""),MOD(C6-B6,1)*24,"")</f>
        <v/>
      </c>
      <c r="E6" s="11"/>
      <c r="F6" s="11"/>
      <c r="G6" s="11"/>
    </row>
    <row r="7" customFormat="false" ht="15" hidden="false" customHeight="false" outlineLevel="0" collapsed="false">
      <c r="A7" s="18"/>
      <c r="B7" s="19"/>
      <c r="C7" s="19"/>
      <c r="D7" s="20" t="str">
        <f aca="false">IF(AND(B7&lt;&gt;"",C7&lt;&gt;""),MOD(C7-B7,1)*24,"")</f>
        <v/>
      </c>
      <c r="E7" s="11"/>
      <c r="F7" s="11"/>
      <c r="G7" s="11"/>
    </row>
    <row r="8" customFormat="false" ht="15" hidden="false" customHeight="false" outlineLevel="0" collapsed="false">
      <c r="A8" s="18"/>
      <c r="B8" s="19"/>
      <c r="C8" s="19"/>
      <c r="D8" s="20" t="str">
        <f aca="false">IF(AND(B8&lt;&gt;"",C8&lt;&gt;""),MOD(C8-B8,1)*24,"")</f>
        <v/>
      </c>
      <c r="E8" s="11"/>
      <c r="F8" s="11"/>
      <c r="G8" s="11"/>
    </row>
    <row r="9" customFormat="false" ht="15" hidden="false" customHeight="false" outlineLevel="0" collapsed="false">
      <c r="A9" s="18"/>
      <c r="B9" s="19"/>
      <c r="C9" s="19"/>
      <c r="D9" s="20" t="str">
        <f aca="false">IF(AND(B9&lt;&gt;"",C9&lt;&gt;""),MOD(C9-B9,1)*24,"")</f>
        <v/>
      </c>
      <c r="E9" s="11"/>
      <c r="F9" s="11"/>
      <c r="G9" s="11"/>
    </row>
    <row r="10" customFormat="false" ht="15" hidden="false" customHeight="false" outlineLevel="0" collapsed="false">
      <c r="A10" s="18"/>
      <c r="B10" s="19"/>
      <c r="C10" s="19"/>
      <c r="D10" s="20" t="str">
        <f aca="false">IF(AND(B10&lt;&gt;"",C10&lt;&gt;""),MOD(C10-B10,1)*24,"")</f>
        <v/>
      </c>
      <c r="E10" s="11"/>
      <c r="F10" s="11"/>
      <c r="G10" s="11"/>
    </row>
    <row r="11" customFormat="false" ht="15" hidden="false" customHeight="false" outlineLevel="0" collapsed="false">
      <c r="A11" s="18"/>
      <c r="B11" s="19"/>
      <c r="C11" s="19"/>
      <c r="D11" s="20" t="str">
        <f aca="false">IF(AND(B11&lt;&gt;"",C11&lt;&gt;""),MOD(C11-B11,1)*24,"")</f>
        <v/>
      </c>
      <c r="E11" s="11"/>
      <c r="F11" s="11"/>
      <c r="G11" s="11"/>
    </row>
    <row r="12" customFormat="false" ht="15" hidden="false" customHeight="false" outlineLevel="0" collapsed="false">
      <c r="A12" s="18"/>
      <c r="B12" s="19"/>
      <c r="C12" s="19"/>
      <c r="D12" s="20" t="str">
        <f aca="false">IF(AND(B12&lt;&gt;"",C12&lt;&gt;""),MOD(C12-B12,1)*24,"")</f>
        <v/>
      </c>
      <c r="E12" s="11"/>
      <c r="F12" s="11"/>
      <c r="G12" s="11"/>
    </row>
    <row r="13" customFormat="false" ht="15" hidden="false" customHeight="false" outlineLevel="0" collapsed="false">
      <c r="A13" s="18"/>
      <c r="B13" s="19"/>
      <c r="C13" s="19"/>
      <c r="D13" s="20" t="str">
        <f aca="false">IF(AND(B13&lt;&gt;"",C13&lt;&gt;""),MOD(C13-B13,1)*24,"")</f>
        <v/>
      </c>
      <c r="E13" s="11"/>
      <c r="F13" s="11"/>
      <c r="G13" s="11"/>
    </row>
    <row r="14" customFormat="false" ht="15" hidden="false" customHeight="false" outlineLevel="0" collapsed="false">
      <c r="A14" s="18"/>
      <c r="B14" s="19"/>
      <c r="C14" s="19"/>
      <c r="D14" s="20" t="str">
        <f aca="false">IF(AND(B14&lt;&gt;"",C14&lt;&gt;""),MOD(C14-B14,1)*24,"")</f>
        <v/>
      </c>
      <c r="E14" s="11"/>
      <c r="F14" s="11"/>
      <c r="G14" s="11"/>
    </row>
    <row r="15" customFormat="false" ht="15" hidden="false" customHeight="false" outlineLevel="0" collapsed="false">
      <c r="A15" s="18"/>
      <c r="B15" s="19"/>
      <c r="C15" s="19"/>
      <c r="D15" s="20" t="str">
        <f aca="false">IF(AND(B15&lt;&gt;"",C15&lt;&gt;""),MOD(C15-B15,1)*24,"")</f>
        <v/>
      </c>
      <c r="E15" s="11"/>
      <c r="F15" s="11"/>
      <c r="G15" s="11"/>
    </row>
    <row r="16" customFormat="false" ht="15" hidden="false" customHeight="false" outlineLevel="0" collapsed="false">
      <c r="A16" s="18"/>
      <c r="B16" s="19"/>
      <c r="C16" s="19"/>
      <c r="D16" s="20" t="str">
        <f aca="false">IF(AND(B16&lt;&gt;"",C16&lt;&gt;""),MOD(C16-B16,1)*24,"")</f>
        <v/>
      </c>
      <c r="E16" s="11"/>
      <c r="F16" s="11"/>
      <c r="G16" s="11"/>
    </row>
    <row r="17" customFormat="false" ht="15" hidden="false" customHeight="false" outlineLevel="0" collapsed="false">
      <c r="A17" s="18"/>
      <c r="B17" s="19"/>
      <c r="C17" s="19"/>
      <c r="D17" s="20" t="str">
        <f aca="false">IF(AND(B17&lt;&gt;"",C17&lt;&gt;""),MOD(C17-B17,1)*24,"")</f>
        <v/>
      </c>
      <c r="E17" s="11"/>
      <c r="F17" s="11"/>
      <c r="G17" s="11"/>
    </row>
    <row r="18" customFormat="false" ht="15" hidden="false" customHeight="false" outlineLevel="0" collapsed="false">
      <c r="A18" s="18"/>
      <c r="B18" s="19"/>
      <c r="C18" s="19"/>
      <c r="D18" s="20" t="str">
        <f aca="false">IF(AND(B18&lt;&gt;"",C18&lt;&gt;""),MOD(C18-B18,1)*24,"")</f>
        <v/>
      </c>
      <c r="E18" s="11"/>
      <c r="F18" s="11"/>
      <c r="G18" s="11"/>
    </row>
    <row r="19" customFormat="false" ht="15" hidden="false" customHeight="false" outlineLevel="0" collapsed="false">
      <c r="A19" s="18"/>
      <c r="B19" s="19"/>
      <c r="C19" s="19"/>
      <c r="D19" s="20" t="str">
        <f aca="false">IF(AND(B19&lt;&gt;"",C19&lt;&gt;""),MOD(C19-B19,1)*24,"")</f>
        <v/>
      </c>
      <c r="E19" s="11"/>
      <c r="F19" s="11"/>
      <c r="G19" s="11"/>
    </row>
    <row r="20" customFormat="false" ht="15" hidden="false" customHeight="false" outlineLevel="0" collapsed="false">
      <c r="A20" s="18"/>
      <c r="B20" s="19"/>
      <c r="C20" s="19"/>
      <c r="D20" s="20" t="str">
        <f aca="false">IF(AND(B20&lt;&gt;"",C20&lt;&gt;""),MOD(C20-B20,1)*24,"")</f>
        <v/>
      </c>
      <c r="E20" s="11"/>
      <c r="F20" s="11"/>
      <c r="G20" s="11"/>
    </row>
    <row r="21" customFormat="false" ht="15" hidden="false" customHeight="false" outlineLevel="0" collapsed="false">
      <c r="A21" s="18"/>
      <c r="B21" s="19"/>
      <c r="C21" s="19"/>
      <c r="D21" s="20" t="str">
        <f aca="false">IF(AND(B21&lt;&gt;"",C21&lt;&gt;""),MOD(C21-B21,1)*24,"")</f>
        <v/>
      </c>
      <c r="E21" s="11"/>
      <c r="F21" s="11"/>
      <c r="G21" s="11"/>
    </row>
    <row r="22" customFormat="false" ht="15" hidden="false" customHeight="false" outlineLevel="0" collapsed="false">
      <c r="A22" s="18"/>
      <c r="B22" s="19"/>
      <c r="C22" s="19"/>
      <c r="D22" s="20" t="str">
        <f aca="false">IF(AND(B22&lt;&gt;"",C22&lt;&gt;""),MOD(C22-B22,1)*24,"")</f>
        <v/>
      </c>
      <c r="E22" s="11"/>
      <c r="F22" s="11"/>
      <c r="G22" s="11"/>
    </row>
    <row r="23" customFormat="false" ht="15" hidden="false" customHeight="false" outlineLevel="0" collapsed="false">
      <c r="A23" s="18"/>
      <c r="B23" s="19"/>
      <c r="C23" s="19"/>
      <c r="D23" s="20" t="str">
        <f aca="false">IF(AND(B23&lt;&gt;"",C23&lt;&gt;""),MOD(C23-B23,1)*24,"")</f>
        <v/>
      </c>
      <c r="E23" s="11"/>
      <c r="F23" s="11"/>
      <c r="G23" s="11"/>
    </row>
    <row r="24" customFormat="false" ht="15" hidden="false" customHeight="false" outlineLevel="0" collapsed="false">
      <c r="A24" s="18"/>
      <c r="B24" s="19"/>
      <c r="C24" s="19"/>
      <c r="D24" s="20" t="str">
        <f aca="false">IF(AND(B24&lt;&gt;"",C24&lt;&gt;""),MOD(C24-B24,1)*24,"")</f>
        <v/>
      </c>
      <c r="E24" s="11"/>
      <c r="F24" s="11"/>
      <c r="G24" s="11"/>
    </row>
    <row r="25" customFormat="false" ht="15" hidden="false" customHeight="false" outlineLevel="0" collapsed="false">
      <c r="A25" s="18"/>
      <c r="B25" s="19"/>
      <c r="C25" s="19"/>
      <c r="D25" s="20" t="str">
        <f aca="false">IF(AND(B25&lt;&gt;"",C25&lt;&gt;""),MOD(C25-B25,1)*24,"")</f>
        <v/>
      </c>
      <c r="E25" s="11"/>
      <c r="F25" s="11"/>
      <c r="G25" s="11"/>
    </row>
    <row r="26" customFormat="false" ht="15" hidden="false" customHeight="false" outlineLevel="0" collapsed="false">
      <c r="A26" s="18"/>
      <c r="B26" s="19"/>
      <c r="C26" s="19"/>
      <c r="D26" s="20" t="str">
        <f aca="false">IF(AND(B26&lt;&gt;"",C26&lt;&gt;""),MOD(C26-B26,1)*24,"")</f>
        <v/>
      </c>
      <c r="E26" s="11"/>
      <c r="F26" s="11"/>
      <c r="G26" s="11"/>
    </row>
    <row r="27" customFormat="false" ht="15" hidden="false" customHeight="false" outlineLevel="0" collapsed="false">
      <c r="A27" s="18"/>
      <c r="B27" s="19"/>
      <c r="C27" s="19"/>
      <c r="D27" s="20" t="str">
        <f aca="false">IF(AND(B27&lt;&gt;"",C27&lt;&gt;""),MOD(C27-B27,1)*24,"")</f>
        <v/>
      </c>
      <c r="E27" s="11"/>
      <c r="F27" s="11"/>
      <c r="G27" s="11"/>
    </row>
    <row r="28" customFormat="false" ht="15" hidden="false" customHeight="false" outlineLevel="0" collapsed="false">
      <c r="A28" s="18"/>
      <c r="B28" s="19"/>
      <c r="C28" s="19"/>
      <c r="D28" s="20" t="str">
        <f aca="false">IF(AND(B28&lt;&gt;"",C28&lt;&gt;""),MOD(C28-B28,1)*24,"")</f>
        <v/>
      </c>
      <c r="E28" s="11"/>
      <c r="F28" s="11"/>
      <c r="G28" s="11"/>
    </row>
    <row r="29" customFormat="false" ht="15" hidden="false" customHeight="false" outlineLevel="0" collapsed="false">
      <c r="A29" s="18"/>
      <c r="B29" s="19"/>
      <c r="C29" s="19"/>
      <c r="D29" s="20" t="str">
        <f aca="false">IF(AND(B29&lt;&gt;"",C29&lt;&gt;""),MOD(C29-B29,1)*24,"")</f>
        <v/>
      </c>
      <c r="E29" s="11"/>
      <c r="F29" s="11"/>
      <c r="G29" s="11"/>
    </row>
    <row r="30" customFormat="false" ht="15" hidden="false" customHeight="false" outlineLevel="0" collapsed="false">
      <c r="A30" s="18"/>
      <c r="B30" s="19"/>
      <c r="C30" s="19"/>
      <c r="D30" s="20" t="str">
        <f aca="false">IF(AND(B30&lt;&gt;"",C30&lt;&gt;""),MOD(C30-B30,1)*24,"")</f>
        <v/>
      </c>
      <c r="E30" s="11"/>
      <c r="F30" s="11"/>
      <c r="G30" s="11"/>
    </row>
    <row r="31" customFormat="false" ht="15" hidden="false" customHeight="false" outlineLevel="0" collapsed="false">
      <c r="A31" s="18"/>
      <c r="B31" s="19"/>
      <c r="C31" s="19"/>
      <c r="D31" s="20" t="str">
        <f aca="false">IF(AND(B31&lt;&gt;"",C31&lt;&gt;""),MOD(C31-B31,1)*24,"")</f>
        <v/>
      </c>
      <c r="E31" s="11"/>
      <c r="F31" s="11"/>
      <c r="G31" s="11"/>
    </row>
    <row r="32" customFormat="false" ht="15" hidden="false" customHeight="false" outlineLevel="0" collapsed="false">
      <c r="A32" s="18"/>
      <c r="B32" s="19"/>
      <c r="C32" s="19"/>
      <c r="D32" s="20" t="str">
        <f aca="false">IF(AND(B32&lt;&gt;"",C32&lt;&gt;""),MOD(C32-B32,1)*24,"")</f>
        <v/>
      </c>
      <c r="E32" s="11"/>
      <c r="F32" s="11"/>
      <c r="G32" s="11"/>
    </row>
    <row r="33" customFormat="false" ht="15" hidden="false" customHeight="false" outlineLevel="0" collapsed="false">
      <c r="A33" s="18"/>
      <c r="B33" s="19"/>
      <c r="C33" s="19"/>
      <c r="D33" s="20" t="str">
        <f aca="false">IF(AND(B33&lt;&gt;"",C33&lt;&gt;""),MOD(C33-B33,1)*24,"")</f>
        <v/>
      </c>
      <c r="E33" s="11"/>
      <c r="F33" s="11"/>
      <c r="G33" s="11"/>
    </row>
    <row r="34" customFormat="false" ht="15" hidden="false" customHeight="false" outlineLevel="0" collapsed="false">
      <c r="A34" s="18"/>
      <c r="B34" s="19"/>
      <c r="C34" s="19"/>
      <c r="D34" s="20" t="str">
        <f aca="false">IF(AND(B34&lt;&gt;"",C34&lt;&gt;""),MOD(C34-B34,1)*24,"")</f>
        <v/>
      </c>
      <c r="E34" s="11"/>
      <c r="F34" s="11"/>
      <c r="G34" s="11"/>
    </row>
    <row r="35" customFormat="false" ht="15" hidden="false" customHeight="false" outlineLevel="0" collapsed="false">
      <c r="A35" s="18"/>
      <c r="B35" s="19"/>
      <c r="C35" s="19"/>
      <c r="D35" s="20" t="str">
        <f aca="false">IF(AND(B35&lt;&gt;"",C35&lt;&gt;""),MOD(C35-B35,1)*24,"")</f>
        <v/>
      </c>
      <c r="E35" s="11"/>
      <c r="F35" s="11"/>
      <c r="G35" s="11"/>
    </row>
    <row r="36" customFormat="false" ht="15" hidden="false" customHeight="false" outlineLevel="0" collapsed="false">
      <c r="A36" s="18"/>
      <c r="B36" s="19"/>
      <c r="C36" s="19"/>
      <c r="D36" s="20" t="str">
        <f aca="false">IF(AND(B36&lt;&gt;"",C36&lt;&gt;""),MOD(C36-B36,1)*24,"")</f>
        <v/>
      </c>
      <c r="E36" s="11"/>
      <c r="F36" s="11"/>
      <c r="G36" s="11"/>
    </row>
    <row r="37" customFormat="false" ht="15" hidden="false" customHeight="false" outlineLevel="0" collapsed="false">
      <c r="A37" s="18"/>
      <c r="B37" s="19"/>
      <c r="C37" s="19"/>
      <c r="D37" s="20" t="str">
        <f aca="false">IF(AND(B37&lt;&gt;"",C37&lt;&gt;""),MOD(C37-B37,1)*24,"")</f>
        <v/>
      </c>
      <c r="E37" s="11"/>
      <c r="F37" s="11"/>
      <c r="G37" s="11"/>
    </row>
    <row r="38" customFormat="false" ht="15" hidden="false" customHeight="false" outlineLevel="0" collapsed="false">
      <c r="A38" s="18"/>
      <c r="B38" s="19"/>
      <c r="C38" s="19"/>
      <c r="D38" s="20" t="str">
        <f aca="false">IF(AND(B38&lt;&gt;"",C38&lt;&gt;""),MOD(C38-B38,1)*24,"")</f>
        <v/>
      </c>
      <c r="E38" s="11"/>
      <c r="F38" s="11"/>
      <c r="G38" s="11"/>
    </row>
    <row r="39" customFormat="false" ht="15" hidden="false" customHeight="false" outlineLevel="0" collapsed="false">
      <c r="A39" s="18"/>
      <c r="B39" s="19"/>
      <c r="C39" s="19"/>
      <c r="D39" s="20" t="str">
        <f aca="false">IF(AND(B39&lt;&gt;"",C39&lt;&gt;""),MOD(C39-B39,1)*24,"")</f>
        <v/>
      </c>
      <c r="E39" s="11"/>
      <c r="F39" s="11"/>
      <c r="G39" s="11"/>
    </row>
    <row r="40" customFormat="false" ht="15" hidden="false" customHeight="false" outlineLevel="0" collapsed="false">
      <c r="A40" s="18"/>
      <c r="B40" s="19"/>
      <c r="C40" s="19"/>
      <c r="D40" s="20" t="str">
        <f aca="false">IF(AND(B40&lt;&gt;"",C40&lt;&gt;""),MOD(C40-B40,1)*24,"")</f>
        <v/>
      </c>
      <c r="E40" s="11"/>
      <c r="F40" s="11"/>
      <c r="G40" s="11"/>
    </row>
    <row r="41" customFormat="false" ht="15" hidden="false" customHeight="false" outlineLevel="0" collapsed="false">
      <c r="A41" s="18"/>
      <c r="B41" s="19"/>
      <c r="C41" s="19"/>
      <c r="D41" s="20" t="str">
        <f aca="false">IF(AND(B41&lt;&gt;"",C41&lt;&gt;""),MOD(C41-B41,1)*24,"")</f>
        <v/>
      </c>
      <c r="E41" s="11"/>
      <c r="F41" s="11"/>
      <c r="G41" s="11"/>
    </row>
    <row r="42" customFormat="false" ht="15" hidden="false" customHeight="false" outlineLevel="0" collapsed="false">
      <c r="A42" s="18"/>
      <c r="B42" s="19"/>
      <c r="C42" s="19"/>
      <c r="D42" s="20" t="str">
        <f aca="false">IF(AND(B42&lt;&gt;"",C42&lt;&gt;""),MOD(C42-B42,1)*24,"")</f>
        <v/>
      </c>
      <c r="E42" s="11"/>
      <c r="F42" s="11"/>
      <c r="G42" s="11"/>
    </row>
    <row r="43" customFormat="false" ht="15" hidden="false" customHeight="false" outlineLevel="0" collapsed="false">
      <c r="A43" s="18"/>
      <c r="B43" s="19"/>
      <c r="C43" s="19"/>
      <c r="D43" s="20" t="str">
        <f aca="false">IF(AND(B43&lt;&gt;"",C43&lt;&gt;""),MOD(C43-B43,1)*24,"")</f>
        <v/>
      </c>
      <c r="E43" s="11"/>
      <c r="F43" s="11"/>
      <c r="G43" s="11"/>
    </row>
    <row r="44" customFormat="false" ht="15" hidden="false" customHeight="false" outlineLevel="0" collapsed="false">
      <c r="A44" s="18"/>
      <c r="B44" s="19"/>
      <c r="C44" s="19"/>
      <c r="D44" s="20" t="str">
        <f aca="false">IF(AND(B44&lt;&gt;"",C44&lt;&gt;""),MOD(C44-B44,1)*24,"")</f>
        <v/>
      </c>
      <c r="E44" s="11"/>
      <c r="F44" s="11"/>
      <c r="G44" s="11"/>
    </row>
    <row r="45" customFormat="false" ht="15" hidden="false" customHeight="false" outlineLevel="0" collapsed="false">
      <c r="A45" s="18"/>
      <c r="B45" s="19"/>
      <c r="C45" s="19"/>
      <c r="D45" s="20" t="str">
        <f aca="false">IF(AND(B45&lt;&gt;"",C45&lt;&gt;""),MOD(C45-B45,1)*24,"")</f>
        <v/>
      </c>
      <c r="E45" s="11"/>
      <c r="F45" s="11"/>
      <c r="G45" s="11"/>
    </row>
    <row r="46" customFormat="false" ht="15" hidden="false" customHeight="false" outlineLevel="0" collapsed="false">
      <c r="A46" s="18"/>
      <c r="B46" s="19"/>
      <c r="C46" s="19"/>
      <c r="D46" s="20" t="str">
        <f aca="false">IF(AND(B46&lt;&gt;"",C46&lt;&gt;""),MOD(C46-B46,1)*24,"")</f>
        <v/>
      </c>
      <c r="E46" s="11"/>
      <c r="F46" s="11"/>
      <c r="G46" s="11"/>
    </row>
    <row r="47" customFormat="false" ht="15" hidden="false" customHeight="false" outlineLevel="0" collapsed="false">
      <c r="A47" s="18"/>
      <c r="B47" s="19"/>
      <c r="C47" s="19"/>
      <c r="D47" s="20" t="str">
        <f aca="false">IF(AND(B47&lt;&gt;"",C47&lt;&gt;""),MOD(C47-B47,1)*24,"")</f>
        <v/>
      </c>
      <c r="E47" s="11"/>
      <c r="F47" s="11"/>
      <c r="G47" s="11"/>
    </row>
    <row r="48" customFormat="false" ht="15" hidden="false" customHeight="false" outlineLevel="0" collapsed="false">
      <c r="A48" s="18"/>
      <c r="B48" s="19"/>
      <c r="C48" s="19"/>
      <c r="D48" s="20" t="str">
        <f aca="false">IF(AND(B48&lt;&gt;"",C48&lt;&gt;""),MOD(C48-B48,1)*24,"")</f>
        <v/>
      </c>
      <c r="E48" s="11"/>
      <c r="F48" s="11"/>
      <c r="G48" s="11"/>
    </row>
    <row r="49" customFormat="false" ht="15" hidden="false" customHeight="false" outlineLevel="0" collapsed="false">
      <c r="A49" s="18"/>
      <c r="B49" s="19"/>
      <c r="C49" s="19"/>
      <c r="D49" s="20" t="str">
        <f aca="false">IF(AND(B49&lt;&gt;"",C49&lt;&gt;""),MOD(C49-B49,1)*24,"")</f>
        <v/>
      </c>
      <c r="E49" s="11"/>
      <c r="F49" s="11"/>
      <c r="G49" s="11"/>
    </row>
    <row r="50" customFormat="false" ht="15" hidden="false" customHeight="false" outlineLevel="0" collapsed="false">
      <c r="A50" s="18"/>
      <c r="B50" s="19"/>
      <c r="C50" s="19"/>
      <c r="D50" s="20" t="str">
        <f aca="false">IF(AND(B50&lt;&gt;"",C50&lt;&gt;""),MOD(C50-B50,1)*24,"")</f>
        <v/>
      </c>
      <c r="E50" s="11"/>
      <c r="F50" s="11"/>
      <c r="G50" s="11"/>
    </row>
    <row r="51" customFormat="false" ht="15" hidden="false" customHeight="false" outlineLevel="0" collapsed="false">
      <c r="A51" s="18"/>
      <c r="B51" s="19"/>
      <c r="C51" s="19"/>
      <c r="D51" s="20" t="str">
        <f aca="false">IF(AND(B51&lt;&gt;"",C51&lt;&gt;""),MOD(C51-B51,1)*24,"")</f>
        <v/>
      </c>
      <c r="E51" s="11"/>
      <c r="F51" s="11"/>
      <c r="G51" s="11"/>
    </row>
    <row r="52" customFormat="false" ht="15" hidden="false" customHeight="false" outlineLevel="0" collapsed="false">
      <c r="A52" s="18"/>
      <c r="B52" s="19"/>
      <c r="C52" s="19"/>
      <c r="D52" s="20" t="str">
        <f aca="false">IF(AND(B52&lt;&gt;"",C52&lt;&gt;""),MOD(C52-B52,1)*24,"")</f>
        <v/>
      </c>
      <c r="E52" s="11"/>
      <c r="F52" s="11"/>
      <c r="G52" s="11"/>
    </row>
    <row r="53" customFormat="false" ht="15" hidden="false" customHeight="false" outlineLevel="0" collapsed="false">
      <c r="A53" s="18"/>
      <c r="B53" s="19"/>
      <c r="C53" s="19"/>
      <c r="D53" s="20" t="str">
        <f aca="false">IF(AND(B53&lt;&gt;"",C53&lt;&gt;""),MOD(C53-B53,1)*24,"")</f>
        <v/>
      </c>
      <c r="E53" s="11"/>
      <c r="F53" s="11"/>
      <c r="G53" s="11"/>
    </row>
    <row r="54" customFormat="false" ht="15" hidden="false" customHeight="false" outlineLevel="0" collapsed="false">
      <c r="A54" s="18"/>
      <c r="B54" s="19"/>
      <c r="C54" s="19"/>
      <c r="D54" s="20" t="str">
        <f aca="false">IF(AND(B54&lt;&gt;"",C54&lt;&gt;""),MOD(C54-B54,1)*24,"")</f>
        <v/>
      </c>
      <c r="E54" s="11"/>
      <c r="F54" s="11"/>
      <c r="G54" s="11"/>
    </row>
    <row r="55" customFormat="false" ht="15" hidden="false" customHeight="false" outlineLevel="0" collapsed="false">
      <c r="A55" s="18"/>
      <c r="B55" s="19"/>
      <c r="C55" s="19"/>
      <c r="D55" s="20" t="str">
        <f aca="false">IF(AND(B55&lt;&gt;"",C55&lt;&gt;""),MOD(C55-B55,1)*24,"")</f>
        <v/>
      </c>
      <c r="E55" s="11"/>
      <c r="F55" s="11"/>
      <c r="G55" s="11"/>
    </row>
    <row r="56" customFormat="false" ht="15" hidden="false" customHeight="false" outlineLevel="0" collapsed="false">
      <c r="A56" s="18"/>
      <c r="B56" s="19"/>
      <c r="C56" s="19"/>
      <c r="D56" s="20" t="str">
        <f aca="false">IF(AND(B56&lt;&gt;"",C56&lt;&gt;""),MOD(C56-B56,1)*24,"")</f>
        <v/>
      </c>
      <c r="E56" s="11"/>
      <c r="F56" s="11"/>
      <c r="G56" s="11"/>
    </row>
    <row r="57" customFormat="false" ht="15" hidden="false" customHeight="false" outlineLevel="0" collapsed="false">
      <c r="A57" s="18"/>
      <c r="B57" s="19"/>
      <c r="C57" s="19"/>
      <c r="D57" s="20" t="str">
        <f aca="false">IF(AND(B57&lt;&gt;"",C57&lt;&gt;""),MOD(C57-B57,1)*24,"")</f>
        <v/>
      </c>
      <c r="E57" s="11"/>
      <c r="F57" s="11"/>
      <c r="G57" s="11"/>
    </row>
    <row r="58" customFormat="false" ht="15" hidden="false" customHeight="false" outlineLevel="0" collapsed="false">
      <c r="A58" s="18"/>
      <c r="B58" s="19"/>
      <c r="C58" s="19"/>
      <c r="D58" s="20" t="str">
        <f aca="false">IF(AND(B58&lt;&gt;"",C58&lt;&gt;""),MOD(C58-B58,1)*24,"")</f>
        <v/>
      </c>
      <c r="E58" s="11"/>
      <c r="F58" s="11"/>
      <c r="G58" s="11"/>
    </row>
    <row r="59" customFormat="false" ht="15" hidden="false" customHeight="false" outlineLevel="0" collapsed="false">
      <c r="A59" s="18"/>
      <c r="B59" s="19"/>
      <c r="C59" s="19"/>
      <c r="D59" s="20" t="str">
        <f aca="false">IF(AND(B59&lt;&gt;"",C59&lt;&gt;""),MOD(C59-B59,1)*24,"")</f>
        <v/>
      </c>
      <c r="E59" s="11"/>
      <c r="F59" s="11"/>
      <c r="G59" s="11"/>
    </row>
    <row r="60" customFormat="false" ht="15" hidden="false" customHeight="false" outlineLevel="0" collapsed="false">
      <c r="A60" s="18"/>
      <c r="B60" s="19"/>
      <c r="C60" s="19"/>
      <c r="D60" s="20" t="str">
        <f aca="false">IF(AND(B60&lt;&gt;"",C60&lt;&gt;""),MOD(C60-B60,1)*24,"")</f>
        <v/>
      </c>
      <c r="E60" s="11"/>
      <c r="F60" s="11"/>
      <c r="G60" s="11"/>
    </row>
    <row r="61" customFormat="false" ht="15" hidden="false" customHeight="false" outlineLevel="0" collapsed="false">
      <c r="A61" s="18"/>
      <c r="B61" s="19"/>
      <c r="C61" s="19"/>
      <c r="D61" s="20" t="str">
        <f aca="false">IF(AND(B61&lt;&gt;"",C61&lt;&gt;""),MOD(C61-B61,1)*24,"")</f>
        <v/>
      </c>
      <c r="E61" s="11"/>
      <c r="F61" s="11"/>
      <c r="G61" s="11"/>
    </row>
    <row r="62" customFormat="false" ht="15" hidden="false" customHeight="false" outlineLevel="0" collapsed="false">
      <c r="A62" s="18"/>
      <c r="B62" s="19"/>
      <c r="C62" s="19"/>
      <c r="D62" s="20" t="str">
        <f aca="false">IF(AND(B62&lt;&gt;"",C62&lt;&gt;""),MOD(C62-B62,1)*24,"")</f>
        <v/>
      </c>
      <c r="E62" s="11"/>
      <c r="F62" s="11"/>
      <c r="G62" s="11"/>
    </row>
    <row r="63" customFormat="false" ht="15" hidden="false" customHeight="false" outlineLevel="0" collapsed="false">
      <c r="A63" s="18"/>
      <c r="B63" s="19"/>
      <c r="C63" s="19"/>
      <c r="D63" s="20" t="str">
        <f aca="false">IF(AND(B63&lt;&gt;"",C63&lt;&gt;""),MOD(C63-B63,1)*24,"")</f>
        <v/>
      </c>
      <c r="E63" s="11"/>
      <c r="F63" s="11"/>
      <c r="G63" s="11"/>
    </row>
    <row r="64" customFormat="false" ht="15" hidden="false" customHeight="false" outlineLevel="0" collapsed="false">
      <c r="A64" s="18"/>
      <c r="B64" s="19"/>
      <c r="C64" s="19"/>
      <c r="D64" s="20" t="str">
        <f aca="false">IF(AND(B64&lt;&gt;"",C64&lt;&gt;""),MOD(C64-B64,1)*24,"")</f>
        <v/>
      </c>
      <c r="E64" s="11"/>
      <c r="F64" s="11"/>
      <c r="G64" s="11"/>
    </row>
    <row r="65" customFormat="false" ht="15" hidden="false" customHeight="false" outlineLevel="0" collapsed="false">
      <c r="A65" s="18"/>
      <c r="B65" s="19"/>
      <c r="C65" s="19"/>
      <c r="D65" s="20" t="str">
        <f aca="false">IF(AND(B65&lt;&gt;"",C65&lt;&gt;""),MOD(C65-B65,1)*24,"")</f>
        <v/>
      </c>
      <c r="E65" s="11"/>
      <c r="F65" s="11"/>
      <c r="G65" s="11"/>
    </row>
    <row r="66" customFormat="false" ht="15" hidden="false" customHeight="false" outlineLevel="0" collapsed="false">
      <c r="A66" s="18"/>
      <c r="B66" s="19"/>
      <c r="C66" s="19"/>
      <c r="D66" s="20" t="str">
        <f aca="false">IF(AND(B66&lt;&gt;"",C66&lt;&gt;""),MOD(C66-B66,1)*24,"")</f>
        <v/>
      </c>
      <c r="E66" s="11"/>
      <c r="F66" s="11"/>
      <c r="G66" s="11"/>
    </row>
    <row r="67" customFormat="false" ht="15" hidden="false" customHeight="false" outlineLevel="0" collapsed="false">
      <c r="A67" s="18"/>
      <c r="B67" s="19"/>
      <c r="C67" s="19"/>
      <c r="D67" s="20" t="str">
        <f aca="false">IF(AND(B67&lt;&gt;"",C67&lt;&gt;""),MOD(C67-B67,1)*24,"")</f>
        <v/>
      </c>
      <c r="E67" s="11"/>
      <c r="F67" s="11"/>
      <c r="G67" s="11"/>
    </row>
    <row r="68" customFormat="false" ht="15" hidden="false" customHeight="false" outlineLevel="0" collapsed="false">
      <c r="A68" s="18"/>
      <c r="B68" s="19"/>
      <c r="C68" s="19"/>
      <c r="D68" s="20" t="str">
        <f aca="false">IF(AND(B68&lt;&gt;"",C68&lt;&gt;""),MOD(C68-B68,1)*24,"")</f>
        <v/>
      </c>
      <c r="E68" s="11"/>
      <c r="F68" s="11"/>
      <c r="G68" s="11"/>
    </row>
    <row r="69" customFormat="false" ht="15" hidden="false" customHeight="false" outlineLevel="0" collapsed="false">
      <c r="A69" s="18"/>
      <c r="B69" s="19"/>
      <c r="C69" s="19"/>
      <c r="D69" s="20" t="str">
        <f aca="false">IF(AND(B69&lt;&gt;"",C69&lt;&gt;""),MOD(C69-B69,1)*24,"")</f>
        <v/>
      </c>
      <c r="E69" s="11"/>
      <c r="F69" s="11"/>
      <c r="G69" s="11"/>
    </row>
    <row r="70" customFormat="false" ht="15" hidden="false" customHeight="false" outlineLevel="0" collapsed="false">
      <c r="A70" s="18"/>
      <c r="B70" s="19"/>
      <c r="C70" s="19"/>
      <c r="D70" s="20" t="str">
        <f aca="false">IF(AND(B70&lt;&gt;"",C70&lt;&gt;""),MOD(C70-B70,1)*24,"")</f>
        <v/>
      </c>
      <c r="E70" s="11"/>
      <c r="F70" s="11"/>
      <c r="G70" s="11"/>
    </row>
    <row r="71" customFormat="false" ht="15" hidden="false" customHeight="false" outlineLevel="0" collapsed="false">
      <c r="A71" s="18"/>
      <c r="B71" s="19"/>
      <c r="C71" s="19"/>
      <c r="D71" s="20" t="str">
        <f aca="false">IF(AND(B71&lt;&gt;"",C71&lt;&gt;""),MOD(C71-B71,1)*24,"")</f>
        <v/>
      </c>
      <c r="E71" s="11"/>
      <c r="F71" s="11"/>
      <c r="G71" s="11"/>
    </row>
    <row r="72" customFormat="false" ht="15" hidden="false" customHeight="false" outlineLevel="0" collapsed="false">
      <c r="A72" s="18"/>
      <c r="B72" s="19"/>
      <c r="C72" s="19"/>
      <c r="D72" s="20" t="str">
        <f aca="false">IF(AND(B72&lt;&gt;"",C72&lt;&gt;""),MOD(C72-B72,1)*24,"")</f>
        <v/>
      </c>
      <c r="E72" s="11"/>
      <c r="F72" s="11"/>
      <c r="G72" s="11"/>
    </row>
    <row r="73" customFormat="false" ht="15" hidden="false" customHeight="false" outlineLevel="0" collapsed="false">
      <c r="A73" s="18"/>
      <c r="B73" s="19"/>
      <c r="C73" s="19"/>
      <c r="D73" s="20" t="str">
        <f aca="false">IF(AND(B73&lt;&gt;"",C73&lt;&gt;""),MOD(C73-B73,1)*24,"")</f>
        <v/>
      </c>
      <c r="E73" s="11"/>
      <c r="F73" s="11"/>
      <c r="G73" s="11"/>
    </row>
    <row r="74" customFormat="false" ht="15" hidden="false" customHeight="false" outlineLevel="0" collapsed="false">
      <c r="A74" s="18"/>
      <c r="B74" s="19"/>
      <c r="C74" s="19"/>
      <c r="D74" s="20" t="str">
        <f aca="false">IF(AND(B74&lt;&gt;"",C74&lt;&gt;""),MOD(C74-B74,1)*24,"")</f>
        <v/>
      </c>
      <c r="E74" s="11"/>
      <c r="F74" s="11"/>
      <c r="G74" s="11"/>
    </row>
    <row r="75" customFormat="false" ht="15" hidden="false" customHeight="false" outlineLevel="0" collapsed="false">
      <c r="A75" s="18"/>
      <c r="B75" s="19"/>
      <c r="C75" s="19"/>
      <c r="D75" s="20" t="str">
        <f aca="false">IF(AND(B75&lt;&gt;"",C75&lt;&gt;""),MOD(C75-B75,1)*24,"")</f>
        <v/>
      </c>
      <c r="E75" s="11"/>
      <c r="F75" s="11"/>
      <c r="G75" s="11"/>
    </row>
    <row r="76" customFormat="false" ht="15" hidden="false" customHeight="false" outlineLevel="0" collapsed="false">
      <c r="A76" s="18"/>
      <c r="B76" s="19"/>
      <c r="C76" s="19"/>
      <c r="D76" s="20" t="str">
        <f aca="false">IF(AND(B76&lt;&gt;"",C76&lt;&gt;""),MOD(C76-B76,1)*24,"")</f>
        <v/>
      </c>
      <c r="E76" s="11"/>
      <c r="F76" s="11"/>
      <c r="G76" s="11"/>
    </row>
    <row r="77" customFormat="false" ht="15" hidden="false" customHeight="false" outlineLevel="0" collapsed="false">
      <c r="A77" s="18"/>
      <c r="B77" s="19"/>
      <c r="C77" s="19"/>
      <c r="D77" s="20" t="str">
        <f aca="false">IF(AND(B77&lt;&gt;"",C77&lt;&gt;""),MOD(C77-B77,1)*24,"")</f>
        <v/>
      </c>
      <c r="E77" s="11"/>
      <c r="F77" s="11"/>
      <c r="G77" s="11"/>
    </row>
    <row r="78" customFormat="false" ht="15" hidden="false" customHeight="false" outlineLevel="0" collapsed="false">
      <c r="A78" s="18"/>
      <c r="B78" s="19"/>
      <c r="C78" s="19"/>
      <c r="D78" s="20" t="str">
        <f aca="false">IF(AND(B78&lt;&gt;"",C78&lt;&gt;""),MOD(C78-B78,1)*24,"")</f>
        <v/>
      </c>
      <c r="E78" s="11"/>
      <c r="F78" s="11"/>
      <c r="G78" s="11"/>
    </row>
    <row r="79" customFormat="false" ht="15" hidden="false" customHeight="false" outlineLevel="0" collapsed="false">
      <c r="A79" s="18"/>
      <c r="B79" s="19"/>
      <c r="C79" s="19"/>
      <c r="D79" s="20" t="str">
        <f aca="false">IF(AND(B79&lt;&gt;"",C79&lt;&gt;""),MOD(C79-B79,1)*24,"")</f>
        <v/>
      </c>
      <c r="E79" s="11"/>
      <c r="F79" s="11"/>
      <c r="G79" s="11"/>
    </row>
    <row r="80" customFormat="false" ht="15" hidden="false" customHeight="false" outlineLevel="0" collapsed="false">
      <c r="A80" s="18"/>
      <c r="B80" s="19"/>
      <c r="C80" s="19"/>
      <c r="D80" s="20" t="str">
        <f aca="false">IF(AND(B80&lt;&gt;"",C80&lt;&gt;""),MOD(C80-B80,1)*24,"")</f>
        <v/>
      </c>
      <c r="E80" s="11"/>
      <c r="F80" s="11"/>
      <c r="G80" s="11"/>
    </row>
    <row r="81" customFormat="false" ht="15" hidden="false" customHeight="false" outlineLevel="0" collapsed="false">
      <c r="A81" s="18"/>
      <c r="B81" s="19"/>
      <c r="C81" s="19"/>
      <c r="D81" s="20" t="str">
        <f aca="false">IF(AND(B81&lt;&gt;"",C81&lt;&gt;""),MOD(C81-B81,1)*24,"")</f>
        <v/>
      </c>
      <c r="E81" s="11"/>
      <c r="F81" s="11"/>
      <c r="G81" s="11"/>
    </row>
    <row r="82" customFormat="false" ht="15" hidden="false" customHeight="false" outlineLevel="0" collapsed="false">
      <c r="A82" s="18"/>
      <c r="B82" s="19"/>
      <c r="C82" s="19"/>
      <c r="D82" s="20" t="str">
        <f aca="false">IF(AND(B82&lt;&gt;"",C82&lt;&gt;""),MOD(C82-B82,1)*24,"")</f>
        <v/>
      </c>
      <c r="E82" s="11"/>
      <c r="F82" s="11"/>
      <c r="G82" s="11"/>
    </row>
    <row r="83" customFormat="false" ht="15" hidden="false" customHeight="false" outlineLevel="0" collapsed="false">
      <c r="A83" s="18"/>
      <c r="B83" s="19"/>
      <c r="C83" s="19"/>
      <c r="D83" s="20" t="str">
        <f aca="false">IF(AND(B83&lt;&gt;"",C83&lt;&gt;""),MOD(C83-B83,1)*24,"")</f>
        <v/>
      </c>
      <c r="E83" s="11"/>
      <c r="F83" s="11"/>
      <c r="G83" s="11"/>
    </row>
    <row r="84" customFormat="false" ht="15" hidden="false" customHeight="false" outlineLevel="0" collapsed="false">
      <c r="A84" s="18"/>
      <c r="B84" s="19"/>
      <c r="C84" s="19"/>
      <c r="D84" s="20" t="str">
        <f aca="false">IF(AND(B84&lt;&gt;"",C84&lt;&gt;""),MOD(C84-B84,1)*24,"")</f>
        <v/>
      </c>
      <c r="E84" s="11"/>
      <c r="F84" s="11"/>
      <c r="G84" s="11"/>
    </row>
    <row r="85" customFormat="false" ht="15" hidden="false" customHeight="false" outlineLevel="0" collapsed="false">
      <c r="A85" s="18"/>
      <c r="B85" s="19"/>
      <c r="C85" s="19"/>
      <c r="D85" s="20" t="str">
        <f aca="false">IF(AND(B85&lt;&gt;"",C85&lt;&gt;""),MOD(C85-B85,1)*24,"")</f>
        <v/>
      </c>
      <c r="E85" s="11"/>
      <c r="F85" s="11"/>
      <c r="G85" s="11"/>
    </row>
    <row r="86" customFormat="false" ht="15" hidden="false" customHeight="false" outlineLevel="0" collapsed="false">
      <c r="A86" s="18"/>
      <c r="B86" s="19"/>
      <c r="C86" s="19"/>
      <c r="D86" s="20" t="str">
        <f aca="false">IF(AND(B86&lt;&gt;"",C86&lt;&gt;""),MOD(C86-B86,1)*24,"")</f>
        <v/>
      </c>
      <c r="E86" s="11"/>
      <c r="F86" s="11"/>
      <c r="G86" s="11"/>
    </row>
    <row r="87" customFormat="false" ht="15" hidden="false" customHeight="false" outlineLevel="0" collapsed="false">
      <c r="A87" s="18"/>
      <c r="B87" s="19"/>
      <c r="C87" s="19"/>
      <c r="D87" s="20" t="str">
        <f aca="false">IF(AND(B87&lt;&gt;"",C87&lt;&gt;""),MOD(C87-B87,1)*24,"")</f>
        <v/>
      </c>
      <c r="E87" s="11"/>
      <c r="F87" s="11"/>
      <c r="G87" s="11"/>
    </row>
    <row r="88" customFormat="false" ht="15" hidden="false" customHeight="false" outlineLevel="0" collapsed="false">
      <c r="A88" s="18"/>
      <c r="B88" s="19"/>
      <c r="C88" s="19"/>
      <c r="D88" s="20" t="str">
        <f aca="false">IF(AND(B88&lt;&gt;"",C88&lt;&gt;""),MOD(C88-B88,1)*24,"")</f>
        <v/>
      </c>
      <c r="E88" s="11"/>
      <c r="F88" s="11"/>
      <c r="G88" s="11"/>
    </row>
    <row r="89" customFormat="false" ht="15" hidden="false" customHeight="false" outlineLevel="0" collapsed="false">
      <c r="A89" s="18"/>
      <c r="B89" s="19"/>
      <c r="C89" s="19"/>
      <c r="D89" s="20" t="str">
        <f aca="false">IF(AND(B89&lt;&gt;"",C89&lt;&gt;""),MOD(C89-B89,1)*24,"")</f>
        <v/>
      </c>
      <c r="E89" s="11"/>
      <c r="F89" s="11"/>
      <c r="G89" s="11"/>
    </row>
    <row r="90" customFormat="false" ht="15" hidden="false" customHeight="false" outlineLevel="0" collapsed="false">
      <c r="A90" s="18"/>
      <c r="B90" s="19"/>
      <c r="C90" s="19"/>
      <c r="D90" s="20" t="str">
        <f aca="false">IF(AND(B90&lt;&gt;"",C90&lt;&gt;""),MOD(C90-B90,1)*24,"")</f>
        <v/>
      </c>
      <c r="E90" s="11"/>
      <c r="F90" s="11"/>
      <c r="G90" s="11"/>
    </row>
    <row r="91" customFormat="false" ht="15" hidden="false" customHeight="false" outlineLevel="0" collapsed="false">
      <c r="A91" s="18"/>
      <c r="B91" s="19"/>
      <c r="C91" s="19"/>
      <c r="D91" s="20" t="str">
        <f aca="false">IF(AND(B91&lt;&gt;"",C91&lt;&gt;""),MOD(C91-B91,1)*24,"")</f>
        <v/>
      </c>
      <c r="E91" s="11"/>
      <c r="F91" s="11"/>
      <c r="G91" s="11"/>
    </row>
    <row r="92" customFormat="false" ht="15" hidden="false" customHeight="false" outlineLevel="0" collapsed="false">
      <c r="A92" s="18"/>
      <c r="B92" s="19"/>
      <c r="C92" s="19"/>
      <c r="D92" s="20" t="str">
        <f aca="false">IF(AND(B92&lt;&gt;"",C92&lt;&gt;""),MOD(C92-B92,1)*24,"")</f>
        <v/>
      </c>
      <c r="E92" s="11"/>
      <c r="F92" s="11"/>
      <c r="G92" s="11"/>
    </row>
    <row r="93" customFormat="false" ht="15" hidden="false" customHeight="false" outlineLevel="0" collapsed="false">
      <c r="A93" s="18"/>
      <c r="B93" s="19"/>
      <c r="C93" s="19"/>
      <c r="D93" s="20" t="str">
        <f aca="false">IF(AND(B93&lt;&gt;"",C93&lt;&gt;""),MOD(C93-B93,1)*24,"")</f>
        <v/>
      </c>
      <c r="E93" s="11"/>
      <c r="F93" s="11"/>
      <c r="G93" s="11"/>
    </row>
    <row r="94" customFormat="false" ht="15" hidden="false" customHeight="false" outlineLevel="0" collapsed="false">
      <c r="A94" s="18"/>
      <c r="B94" s="19"/>
      <c r="C94" s="19"/>
      <c r="D94" s="20" t="str">
        <f aca="false">IF(AND(B94&lt;&gt;"",C94&lt;&gt;""),MOD(C94-B94,1)*24,"")</f>
        <v/>
      </c>
      <c r="E94" s="11"/>
      <c r="F94" s="11"/>
      <c r="G94" s="11"/>
    </row>
    <row r="95" customFormat="false" ht="15" hidden="false" customHeight="false" outlineLevel="0" collapsed="false">
      <c r="A95" s="18"/>
      <c r="B95" s="19"/>
      <c r="C95" s="19"/>
      <c r="D95" s="20" t="str">
        <f aca="false">IF(AND(B95&lt;&gt;"",C95&lt;&gt;""),MOD(C95-B95,1)*24,"")</f>
        <v/>
      </c>
      <c r="E95" s="11"/>
      <c r="F95" s="11"/>
      <c r="G95" s="11"/>
    </row>
    <row r="96" customFormat="false" ht="15" hidden="false" customHeight="false" outlineLevel="0" collapsed="false">
      <c r="A96" s="18"/>
      <c r="B96" s="19"/>
      <c r="C96" s="19"/>
      <c r="D96" s="20" t="str">
        <f aca="false">IF(AND(B96&lt;&gt;"",C96&lt;&gt;""),MOD(C96-B96,1)*24,"")</f>
        <v/>
      </c>
      <c r="E96" s="11"/>
      <c r="F96" s="11"/>
      <c r="G96" s="11"/>
    </row>
    <row r="97" customFormat="false" ht="15" hidden="false" customHeight="false" outlineLevel="0" collapsed="false">
      <c r="A97" s="18"/>
      <c r="B97" s="19"/>
      <c r="C97" s="19"/>
      <c r="D97" s="20" t="str">
        <f aca="false">IF(AND(B97&lt;&gt;"",C97&lt;&gt;""),MOD(C97-B97,1)*24,"")</f>
        <v/>
      </c>
      <c r="E97" s="11"/>
      <c r="F97" s="11"/>
      <c r="G97" s="11"/>
    </row>
    <row r="98" customFormat="false" ht="15" hidden="false" customHeight="false" outlineLevel="0" collapsed="false">
      <c r="A98" s="18"/>
      <c r="B98" s="19"/>
      <c r="C98" s="19"/>
      <c r="D98" s="20" t="str">
        <f aca="false">IF(AND(B98&lt;&gt;"",C98&lt;&gt;""),MOD(C98-B98,1)*24,"")</f>
        <v/>
      </c>
      <c r="E98" s="11"/>
      <c r="F98" s="11"/>
      <c r="G98" s="11"/>
    </row>
    <row r="99" customFormat="false" ht="15" hidden="false" customHeight="false" outlineLevel="0" collapsed="false">
      <c r="A99" s="18"/>
      <c r="B99" s="19"/>
      <c r="C99" s="19"/>
      <c r="D99" s="20" t="str">
        <f aca="false">IF(AND(B99&lt;&gt;"",C99&lt;&gt;""),MOD(C99-B99,1)*24,"")</f>
        <v/>
      </c>
      <c r="E99" s="11"/>
      <c r="F99" s="11"/>
      <c r="G99" s="11"/>
    </row>
    <row r="100" customFormat="false" ht="15" hidden="false" customHeight="false" outlineLevel="0" collapsed="false">
      <c r="A100" s="18"/>
      <c r="B100" s="19"/>
      <c r="C100" s="19"/>
      <c r="D100" s="20" t="str">
        <f aca="false">IF(AND(B100&lt;&gt;"",C100&lt;&gt;""),MOD(C100-B100,1)*24,"")</f>
        <v/>
      </c>
      <c r="E100" s="11"/>
      <c r="F100" s="11"/>
      <c r="G100" s="11"/>
    </row>
    <row r="101" customFormat="false" ht="15" hidden="false" customHeight="false" outlineLevel="0" collapsed="false">
      <c r="A101" s="18"/>
      <c r="B101" s="19"/>
      <c r="C101" s="19"/>
      <c r="D101" s="20" t="str">
        <f aca="false">IF(AND(B101&lt;&gt;"",C101&lt;&gt;""),MOD(C101-B101,1)*24,"")</f>
        <v/>
      </c>
      <c r="E101" s="11"/>
      <c r="F101" s="11"/>
      <c r="G101" s="11"/>
    </row>
  </sheetData>
  <dataValidations count="1">
    <dataValidation allowBlank="true" errorStyle="stop" operator="between" showDropDown="false" showErrorMessage="false" showInputMessage="false" sqref="E2:E101" type="list">
      <formula1>"Gasoline,Propane"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2026-10-31T18:58:58Z</dcterms:created>
  <dc:creator>openpyxl</dc:creator>
  <dc:description/>
  <dc:language>en-US</dc:language>
  <cp:lastModifiedBy/>
  <dcterms:modified xsi:type="dcterms:W3CDTF">2026-10-31T18:58:58Z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